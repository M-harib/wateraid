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udget Detail" sheetId="2" state="visible" r:id="rId4"/>
    <sheet name="Budget Summary" sheetId="3" state="visible" r:id="rId5"/>
    <sheet name="Budget by Year" sheetId="4" state="visible" r:id="rId6"/>
    <sheet name="Agreement Rules" sheetId="5" state="visible" r:id="rId7"/>
    <sheet name="GAC Review Questions"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6" authorId="0">
      <text>
        <r>
          <rPr>
            <sz val="10"/>
            <rFont val="Arial"/>
            <family val="2"/>
          </rPr>
          <t xml:space="preserve">Format example only. Delete or overwrite this row.</t>
        </r>
      </text>
    </comment>
    <comment ref="M6" authorId="0">
      <text>
        <r>
          <rPr>
            <sz val="10"/>
            <rFont val="Arial"/>
            <family val="2"/>
          </rPr>
          <t xml:space="preserve">Default 90.5%: the GAC share of eligible direct costs in Art. 2.1 of the agreement. Change per line if your plan differs.</t>
        </r>
      </text>
    </comment>
  </commentList>
</comments>
</file>

<file path=xl/sharedStrings.xml><?xml version="1.0" encoding="utf-8"?>
<sst xmlns="http://schemas.openxmlformats.org/spreadsheetml/2006/main" count="249" uniqueCount="193">
  <si>
    <t xml:space="preserve">Taps for Rights: Budget template (categories only)</t>
  </si>
  <si>
    <t xml:space="preserve">Background document 6 · Water Care AI Hackathon · Track A6 · Modelled on the Global Affairs Canada (GAC) budget template</t>
  </si>
  <si>
    <t xml:space="preserve">SYNTHETIC TRAINING MATERIAL. Water Care, Taps for Rights, Nimbara and Sundara are fictional. No real budget figures are included. Information elsewhere in the pack has been deliberately altered to include errors for testing.</t>
  </si>
  <si>
    <t xml:space="preserve">What this is</t>
  </si>
  <si>
    <t xml:space="preserve">An empty budget in the shape GAC expects: the cost categories from Appendix C of the contribution agreement, detail lines, a year-by-year view, the funding rules, and the questions GAC's financial reviewers typically ask. There are no real figures. If your tool needs numbers (for example to test a budget-variance check), generate your own test data and label it as such.</t>
  </si>
  <si>
    <t xml:space="preserve">How to use it</t>
  </si>
  <si>
    <t xml:space="preserve">1. Budget Detail: one row per cost line. Fill the yellow cells. Totals and the GAC / Water Care split calculate automatically. Row 6 is a format example only; delete or overwrite it.</t>
  </si>
  <si>
    <t xml:space="preserve">2. Budget Summary: totals by Appendix C category pulled from Budget Detail, plus the 12% overhead and automatic checks against the agreement's rules.</t>
  </si>
  <si>
    <t xml:space="preserve">3. Budget by Year: optional split of each category across project years 1 to 4 (April to March).</t>
  </si>
  <si>
    <t xml:space="preserve">4. Agreement Rules: the budget rules from the agreement with clause references.</t>
  </si>
  <si>
    <t xml:space="preserve">5. GAC Review Questions: what GAC's financial reviewers usually ask about each category, so your proposal tool can anticipate them.</t>
  </si>
  <si>
    <t xml:space="preserve">Legend</t>
  </si>
  <si>
    <t xml:space="preserve">Yellow fill = input cell. Blue text = typed-in assumption. Black text = formula. Green text = value pulled from another sheet. Grey italic = example row.</t>
  </si>
  <si>
    <t xml:space="preserve">Note on numbering</t>
  </si>
  <si>
    <t xml:space="preserve">GAC's budget template and the agreement number the same categories differently (for example, travel is 1.6.1 in the template but 1.5.1 in Appendix C). Both codes are shown. Map carefully.</t>
  </si>
  <si>
    <t xml:space="preserve">Budget detail lines</t>
  </si>
  <si>
    <t xml:space="preserve">Fill yellow cells. One row per cost line. Amounts in Canadian dollars.</t>
  </si>
  <si>
    <t xml:space="preserve">Appendix C line</t>
  </si>
  <si>
    <t xml:space="preserve">GAC template code</t>
  </si>
  <si>
    <t xml:space="preserve">Category</t>
  </si>
  <si>
    <t xml:space="preserve">Description of cost</t>
  </si>
  <si>
    <t xml:space="preserve">Country</t>
  </si>
  <si>
    <t xml:space="preserve">Activity code</t>
  </si>
  <si>
    <t xml:space="preserve">Unit</t>
  </si>
  <si>
    <t xml:space="preserve">Quantity</t>
  </si>
  <si>
    <t xml:space="preserve">Unit cost (CAD)</t>
  </si>
  <si>
    <t xml:space="preserve">% charged to project</t>
  </si>
  <si>
    <t xml:space="preserve">Frequency</t>
  </si>
  <si>
    <t xml:space="preserve">Total (CAD)</t>
  </si>
  <si>
    <t xml:space="preserve">GAC share %</t>
  </si>
  <si>
    <t xml:space="preserve">GAC (CAD)</t>
  </si>
  <si>
    <t xml:space="preserve">Water Care cash (CAD)</t>
  </si>
  <si>
    <t xml:space="preserve">1.5.1</t>
  </si>
  <si>
    <t xml:space="preserve">EXAMPLE ONLY: monitoring visits by district coordinator (local transport)</t>
  </si>
  <si>
    <t xml:space="preserve">Nimbara</t>
  </si>
  <si>
    <t xml:space="preserve">1122.1</t>
  </si>
  <si>
    <t xml:space="preserve">trip</t>
  </si>
  <si>
    <t xml:space="preserve">Totals</t>
  </si>
  <si>
    <t xml:space="preserve">Budget summary by Appendix C category</t>
  </si>
  <si>
    <t xml:space="preserve">Pulled from Budget Detail. Enter in-kind amounts (if any) in the yellow column.</t>
  </si>
  <si>
    <t xml:space="preserve">Summary of eligible cost categories</t>
  </si>
  <si>
    <t xml:space="preserve">Group</t>
  </si>
  <si>
    <t xml:space="preserve">The Department (GAC)</t>
  </si>
  <si>
    <t xml:space="preserve">Water Care cash</t>
  </si>
  <si>
    <t xml:space="preserve">Water Care in-kind</t>
  </si>
  <si>
    <t xml:space="preserve">Total</t>
  </si>
  <si>
    <t xml:space="preserve">1.1</t>
  </si>
  <si>
    <t xml:space="preserve">Remuneration - Organization's employees (Canada / short-term overseas)</t>
  </si>
  <si>
    <t xml:space="preserve">Remuneration/Fees</t>
  </si>
  <si>
    <t xml:space="preserve">1.1b</t>
  </si>
  <si>
    <t xml:space="preserve">Remuneration - Organization's employees on long-term assignment overseas</t>
  </si>
  <si>
    <t xml:space="preserve">1.2</t>
  </si>
  <si>
    <t xml:space="preserve">Remuneration - Local employees</t>
  </si>
  <si>
    <t xml:space="preserve">1.3a</t>
  </si>
  <si>
    <t xml:space="preserve">1.4</t>
  </si>
  <si>
    <t xml:space="preserve">Fees - Canadian and international subcontractors</t>
  </si>
  <si>
    <t xml:space="preserve">1.3b</t>
  </si>
  <si>
    <t xml:space="preserve">Fees - Local subcontractors</t>
  </si>
  <si>
    <t xml:space="preserve">1.6.1</t>
  </si>
  <si>
    <t xml:space="preserve">Travel costs</t>
  </si>
  <si>
    <t xml:space="preserve">Reimbursable</t>
  </si>
  <si>
    <t xml:space="preserve">1.5.2</t>
  </si>
  <si>
    <t xml:space="preserve">1.6.2</t>
  </si>
  <si>
    <t xml:space="preserve">Benefits and allowable expenses: long-term assignment / short-term relocation</t>
  </si>
  <si>
    <t xml:space="preserve">1.5.3</t>
  </si>
  <si>
    <t xml:space="preserve">1.6.3</t>
  </si>
  <si>
    <t xml:space="preserve">Costs for students and trainees</t>
  </si>
  <si>
    <t xml:space="preserve">1.5.4</t>
  </si>
  <si>
    <t xml:space="preserve">1.6.4</t>
  </si>
  <si>
    <t xml:space="preserve">Other training costs</t>
  </si>
  <si>
    <t xml:space="preserve">1.5.5</t>
  </si>
  <si>
    <t xml:space="preserve">1.6.6</t>
  </si>
  <si>
    <t xml:space="preserve">Goods, assets and supplies</t>
  </si>
  <si>
    <t xml:space="preserve">1.5.6</t>
  </si>
  <si>
    <t xml:space="preserve">1.6.7</t>
  </si>
  <si>
    <t xml:space="preserve">Project administration costs directly related to the Project</t>
  </si>
  <si>
    <t xml:space="preserve">1.5.7</t>
  </si>
  <si>
    <t xml:space="preserve">1.6.10</t>
  </si>
  <si>
    <t xml:space="preserve">Other direct costs</t>
  </si>
  <si>
    <t xml:space="preserve">1.5.8a</t>
  </si>
  <si>
    <t xml:space="preserve">1.6.9</t>
  </si>
  <si>
    <t xml:space="preserve">Construction: structural works</t>
  </si>
  <si>
    <t xml:space="preserve">1.5.8b</t>
  </si>
  <si>
    <t xml:space="preserve">Construction: non-structural works</t>
  </si>
  <si>
    <t xml:space="preserve">Sub-total: Remuneration/Fees</t>
  </si>
  <si>
    <t xml:space="preserve">Sub-total: Reimbursable costs eligible for the fixed overhead rate</t>
  </si>
  <si>
    <t xml:space="preserve">Total eligible direct costs (1.1 to 1.5)</t>
  </si>
  <si>
    <t xml:space="preserve">1.6</t>
  </si>
  <si>
    <t xml:space="preserve">1.9.1</t>
  </si>
  <si>
    <t xml:space="preserve">Compensation for indirect/overhead costs (fixed rate on GAC share of 1.1 to 1.5)</t>
  </si>
  <si>
    <t xml:space="preserve">TOTAL CONTRIBUTION TO PROJECT</t>
  </si>
  <si>
    <t xml:space="preserve">Assumptions (from the agreement)</t>
  </si>
  <si>
    <t xml:space="preserve">GAC maximum share of eligible direct costs</t>
  </si>
  <si>
    <t xml:space="preserve">Source: Art. 2.1 b)</t>
  </si>
  <si>
    <t xml:space="preserve">Water Care minimum share of eligible direct costs (agreement)</t>
  </si>
  <si>
    <t xml:space="preserve">Source: Art. 2.2 and 2.3</t>
  </si>
  <si>
    <t xml:space="preserve">Applicant minimum cost share (call for proposals)</t>
  </si>
  <si>
    <t xml:space="preserve">Source: Call, project parameters; agreement Art. 2.4</t>
  </si>
  <si>
    <t xml:space="preserve">Maximum single-line transfer without GAC approval</t>
  </si>
  <si>
    <t xml:space="preserve">Source: Appendix C 1.2.3</t>
  </si>
  <si>
    <t xml:space="preserve">Maximum subcontracting as share of GAC contribution</t>
  </si>
  <si>
    <t xml:space="preserve">Source: Appendix B 1.3.2</t>
  </si>
  <si>
    <t xml:space="preserve">Construction threshold for the fixed overhead rate (share of GAC contribution)</t>
  </si>
  <si>
    <t xml:space="preserve">Source: GAC budget template 1.6.9 / 1.7.1</t>
  </si>
  <si>
    <t xml:space="preserve">Overhead rate on GAC share of 1.1 to 1.5</t>
  </si>
  <si>
    <t xml:space="preserve">Source: Appendix B 1.6</t>
  </si>
  <si>
    <t xml:space="preserve">Automatic checks (blank until the budget has figures)</t>
  </si>
  <si>
    <t xml:space="preserve">Check</t>
  </si>
  <si>
    <t xml:space="preserve">Value</t>
  </si>
  <si>
    <t xml:space="preserve">Limit</t>
  </si>
  <si>
    <t xml:space="preserve">Result</t>
  </si>
  <si>
    <t xml:space="preserve">GAC share of eligible direct costs</t>
  </si>
  <si>
    <t xml:space="preserve">Water Care share of eligible direct costs vs agreement minimum</t>
  </si>
  <si>
    <t xml:space="preserve">Water Care share of eligible direct costs vs call minimum</t>
  </si>
  <si>
    <t xml:space="preserve">Subcontracting (1.3) as share of GAC contribution</t>
  </si>
  <si>
    <t xml:space="preserve">Construction (1.5.8) as share of GAC contribution</t>
  </si>
  <si>
    <t xml:space="preserve">Budget by project year</t>
  </si>
  <si>
    <t xml:space="preserve">Project year = 1 April to 31 March. Year 1 starts on the Effective Date. Fill yellow cells; the check column compares with Budget Summary.</t>
  </si>
  <si>
    <t xml:space="preserve">Year 1 (2019-20)</t>
  </si>
  <si>
    <t xml:space="preserve">Year 2 (2020-21)</t>
  </si>
  <si>
    <t xml:space="preserve">Year 3 (2021-22)</t>
  </si>
  <si>
    <t xml:space="preserve">Year 4 (2022-23)</t>
  </si>
  <si>
    <t xml:space="preserve">Close-out (Apr to Sep 2023)</t>
  </si>
  <si>
    <t xml:space="preserve">Matches summary?</t>
  </si>
  <si>
    <t xml:space="preserve">Budget and payment rules in the contribution agreement</t>
  </si>
  <si>
    <t xml:space="preserve">Use these to build checks. Clause references point to the agreement in this pack.</t>
  </si>
  <si>
    <t xml:space="preserve">Rule</t>
  </si>
  <si>
    <t xml:space="preserve">Where</t>
  </si>
  <si>
    <t xml:space="preserve">Notes</t>
  </si>
  <si>
    <t xml:space="preserve">GAC contributes the lesser of the maximum amount and 90.5% of eligible direct costs, plus overhead.</t>
  </si>
  <si>
    <t xml:space="preserve">Articles 2.1</t>
  </si>
  <si>
    <t xml:space="preserve">Art. 2.1 calls the budget Appendix B and payment terms Appendix C; Art. 1.3 lists them the other way round.</t>
  </si>
  <si>
    <t xml:space="preserve">Water Care contributes at least 9.5% of eligible direct costs (cash and/or in kind from Canadian sources).</t>
  </si>
  <si>
    <t xml:space="preserve">Article 2.2</t>
  </si>
  <si>
    <t xml:space="preserve">Compare with Art. 2.3, Art. 2.4 and Appendix C 1.3.</t>
  </si>
  <si>
    <t xml:space="preserve">At the end of the Project, Water Care's contribution is at least 9.5% in cash from Canadian sources.</t>
  </si>
  <si>
    <t xml:space="preserve">Article 2.3</t>
  </si>
  <si>
    <t xml:space="preserve">Applicant provides at least 10% of total eligible direct costs (call parameter).</t>
  </si>
  <si>
    <t xml:space="preserve">Article 2.4; call</t>
  </si>
  <si>
    <t xml:space="preserve">Overhead: fixed 12% on GAC's contribution toward lines 1.1 to 1.5 only.</t>
  </si>
  <si>
    <t xml:space="preserve">Appendix B 1.6</t>
  </si>
  <si>
    <t xml:space="preserve">Subcontracting paid by GAC is capped at 20% of the GAC contribution.</t>
  </si>
  <si>
    <t xml:space="preserve">Appendix B 1.3.2</t>
  </si>
  <si>
    <t xml:space="preserve">Transfers between lines up to 20% need no approval if scope is unchanged.</t>
  </si>
  <si>
    <t xml:space="preserve">Appendix C 1.2.3</t>
  </si>
  <si>
    <t xml:space="preserve">Transfers above 20% of a line need GAC's prior written approval.</t>
  </si>
  <si>
    <t xml:space="preserve">Appendix C 1.2.2</t>
  </si>
  <si>
    <t xml:space="preserve">Any transfer into the Remuneration/Fees sub-total, or any change to Construction or Flow-through lines, needs an amendment.</t>
  </si>
  <si>
    <t xml:space="preserve">Appendix C 1.2.1</t>
  </si>
  <si>
    <t xml:space="preserve">Transfers can never increase the GAC contribution.</t>
  </si>
  <si>
    <t xml:space="preserve">Appendix C 1.2.4</t>
  </si>
  <si>
    <t xml:space="preserve">Advances are semi-annual, up to 95% of the contribution, and never more than two periods outstanding.</t>
  </si>
  <si>
    <t xml:space="preserve">Appendix B 2.2.2 and 2.2.4</t>
  </si>
  <si>
    <t xml:space="preserve">Foreign currency costs are converted by FIFO or weighted average only.</t>
  </si>
  <si>
    <t xml:space="preserve">Appendix B 2.2.5</t>
  </si>
  <si>
    <t xml:space="preserve">GAC funds are kept in an interest-bearing account; interest can be used only with prior written approval.</t>
  </si>
  <si>
    <t xml:space="preserve">Appendix B 2.2.6</t>
  </si>
  <si>
    <t xml:space="preserve">Construction needs an approved Construction Validation Plan before work starts.</t>
  </si>
  <si>
    <t xml:space="preserve">Appendix D 4.4</t>
  </si>
  <si>
    <t xml:space="preserve">Only demobilization, asset disposal and final reports are eligible after activities end (31 March 2023).</t>
  </si>
  <si>
    <t xml:space="preserve">Article 4.2</t>
  </si>
  <si>
    <t xml:space="preserve">What GAC's financial reviewers typically ask</t>
  </si>
  <si>
    <t xml:space="preserve">Based on the kinds of questions raised in GAC budget reviews of similar projects. Names and figures removed.</t>
  </si>
  <si>
    <t xml:space="preserve">Budget category</t>
  </si>
  <si>
    <t xml:space="preserve">Typical question from GAC</t>
  </si>
  <si>
    <t xml:space="preserve">What to have ready</t>
  </si>
  <si>
    <t xml:space="preserve">1.1 Organization's employees</t>
  </si>
  <si>
    <t xml:space="preserve">Provide an organizational chart, job descriptions and, if applicable, the collective agreement. Complete the salary table. Describe each employee's tasks on this project.</t>
  </si>
  <si>
    <t xml:space="preserve">Org chart; job descriptions; salary table with level of effort per role; task descriptions.</t>
  </si>
  <si>
    <t xml:space="preserve">1.2 Local employees</t>
  </si>
  <si>
    <t xml:space="preserve">Complete the salary table. Why are some local salaries higher than Canadian salaries?</t>
  </si>
  <si>
    <t xml:space="preserve">Market-rate evidence; seniority of roles; level of effort of senior staff (often a small %).</t>
  </si>
  <si>
    <t xml:space="preserve">1.3 Subcontractors</t>
  </si>
  <si>
    <t xml:space="preserve">Are these subcontractors or employees? If two positions come from the same subcontractor, confirm. Describe each subcontractor's tasks.</t>
  </si>
  <si>
    <t xml:space="preserve">Subcontractor task descriptions; arm's length status; daily rates and days.</t>
  </si>
  <si>
    <t xml:space="preserve">1.5.1 Travel</t>
  </si>
  <si>
    <t xml:space="preserve">Who are the flights for, where are they going, and how many per year? Give units and unit costs for every line. Meal and incidental allowances must follow the NJC Travel Directive.</t>
  </si>
  <si>
    <t xml:space="preserve">Travel plan by traveller and trip; unit costs; NJC rates.</t>
  </si>
  <si>
    <t xml:space="preserve">1.5.4 Other training</t>
  </si>
  <si>
    <t xml:space="preserve">Detail every cost line with units and unit costs, by country.</t>
  </si>
  <si>
    <t xml:space="preserve">Training plan; venue, materials and per-participant costs.</t>
  </si>
  <si>
    <t xml:space="preserve">1.5.5 Goods, assets and supplies</t>
  </si>
  <si>
    <t xml:space="preserve">Detail every line with units and unit costs. A disposal plan is required before the end of the project for all assets with a lifespan over one year.</t>
  </si>
  <si>
    <t xml:space="preserve">Asset list with expected lifespan; % charged to project; disposal intentions.</t>
  </si>
  <si>
    <t xml:space="preserve">1.5.6 Project administration</t>
  </si>
  <si>
    <t xml:space="preserve">Detail every line by country. Why is an item charged at 100% when related costs (e.g. rent) are charged at 40%? Which vehicle is insured?</t>
  </si>
  <si>
    <t xml:space="preserve">Consistent allocation percentages across related lines.</t>
  </si>
  <si>
    <t xml:space="preserve">1.5.8 Construction</t>
  </si>
  <si>
    <t xml:space="preserve">Is construction below 20% of GAC's contribution? Which works are structural vs non-structural? Has a Construction Validation Plan been approved?</t>
  </si>
  <si>
    <t xml:space="preserve">Site list; works type; competent authority; CVP status.</t>
  </si>
  <si>
    <t xml:space="preserve">General</t>
  </si>
  <si>
    <t xml:space="preserve">Remuneration is a large share of the budget: justify. Do all detail tabs reconcile to the main budget?</t>
  </si>
  <si>
    <t xml:space="preserve">Reconciliation of every tab to the summary; rationale for staffing mix.</t>
  </si>
</sst>
</file>

<file path=xl/styles.xml><?xml version="1.0" encoding="utf-8"?>
<styleSheet xmlns="http://schemas.openxmlformats.org/spreadsheetml/2006/main">
  <numFmts count="4">
    <numFmt numFmtId="164" formatCode="General"/>
    <numFmt numFmtId="165" formatCode="\$#,##0;&quot;($&quot;#,##0\);\-"/>
    <numFmt numFmtId="166" formatCode="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B5FAA"/>
      <name val="Arial"/>
      <family val="0"/>
      <charset val="1"/>
    </font>
    <font>
      <i val="true"/>
      <sz val="9"/>
      <color rgb="FF4A5C72"/>
      <name val="Arial"/>
      <family val="0"/>
      <charset val="1"/>
    </font>
    <font>
      <b val="true"/>
      <sz val="10"/>
      <color rgb="FF12355B"/>
      <name val="Arial"/>
      <family val="0"/>
      <charset val="1"/>
    </font>
    <font>
      <sz val="10"/>
      <color rgb="FF12355B"/>
      <name val="Arial"/>
      <family val="0"/>
      <charset val="1"/>
    </font>
    <font>
      <b val="true"/>
      <sz val="9"/>
      <color rgb="FF12355B"/>
      <name val="Arial"/>
      <family val="0"/>
      <charset val="1"/>
    </font>
    <font>
      <b val="true"/>
      <sz val="10"/>
      <color rgb="FFFFFFFF"/>
      <name val="Arial"/>
      <family val="0"/>
      <charset val="1"/>
    </font>
    <font>
      <i val="true"/>
      <sz val="10"/>
      <color rgb="FF7A7A7A"/>
      <name val="Arial"/>
      <family val="0"/>
      <charset val="1"/>
    </font>
    <font>
      <sz val="10"/>
      <color rgb="FF008000"/>
      <name val="Arial"/>
      <family val="0"/>
      <charset val="1"/>
    </font>
    <font>
      <sz val="10"/>
      <color rgb="FF0000FF"/>
      <name val="Arial"/>
      <family val="0"/>
      <charset val="1"/>
    </font>
    <font>
      <sz val="10"/>
      <name val="Arial"/>
      <family val="2"/>
    </font>
  </fonts>
  <fills count="6">
    <fill>
      <patternFill patternType="none"/>
    </fill>
    <fill>
      <patternFill patternType="gray125"/>
    </fill>
    <fill>
      <patternFill patternType="solid">
        <fgColor rgb="FFFDF4E6"/>
        <bgColor rgb="FFFFFFFF"/>
      </patternFill>
    </fill>
    <fill>
      <patternFill patternType="solid">
        <fgColor rgb="FF1B5FAA"/>
        <bgColor rgb="FF3366FF"/>
      </patternFill>
    </fill>
    <fill>
      <patternFill patternType="solid">
        <fgColor rgb="FFFFF2B3"/>
        <bgColor rgb="FFFDF4E6"/>
      </patternFill>
    </fill>
    <fill>
      <patternFill patternType="solid">
        <fgColor rgb="FFE8F0F8"/>
        <bgColor rgb="FFFDF4E6"/>
      </patternFill>
    </fill>
  </fills>
  <borders count="2">
    <border diagonalUp="false" diagonalDown="false">
      <left/>
      <right/>
      <top/>
      <bottom/>
      <diagonal/>
    </border>
    <border diagonalUp="false" diagonalDown="false">
      <left style="thin">
        <color rgb="FFC9D7E6"/>
      </left>
      <right style="thin">
        <color rgb="FFC9D7E6"/>
      </right>
      <top style="thin">
        <color rgb="FFC9D7E6"/>
      </top>
      <bottom style="thin">
        <color rgb="FFC9D7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7A7A"/>
      <rgbColor rgb="FF9999FF"/>
      <rgbColor rgb="FF993366"/>
      <rgbColor rgb="FFFDF4E6"/>
      <rgbColor rgb="FFE8F0F8"/>
      <rgbColor rgb="FF660066"/>
      <rgbColor rgb="FFFF8080"/>
      <rgbColor rgb="FF1B5FAA"/>
      <rgbColor rgb="FFC9D7E6"/>
      <rgbColor rgb="FF000080"/>
      <rgbColor rgb="FFFF00FF"/>
      <rgbColor rgb="FFFFFF00"/>
      <rgbColor rgb="FF00FFFF"/>
      <rgbColor rgb="FF800080"/>
      <rgbColor rgb="FF800000"/>
      <rgbColor rgb="FF008080"/>
      <rgbColor rgb="FF0000FF"/>
      <rgbColor rgb="FF00CCFF"/>
      <rgbColor rgb="FFCCFFFF"/>
      <rgbColor rgb="FFCCFFCC"/>
      <rgbColor rgb="FFFFF2B3"/>
      <rgbColor rgb="FF99CCFF"/>
      <rgbColor rgb="FFFF99CC"/>
      <rgbColor rgb="FFCC99FF"/>
      <rgbColor rgb="FFFFCC99"/>
      <rgbColor rgb="FF3366FF"/>
      <rgbColor rgb="FF33CCCC"/>
      <rgbColor rgb="FF99CC00"/>
      <rgbColor rgb="FFFFCC00"/>
      <rgbColor rgb="FFFF9900"/>
      <rgbColor rgb="FFFF6600"/>
      <rgbColor rgb="FF4A5C72"/>
      <rgbColor rgb="FF969696"/>
      <rgbColor rgb="FF12355B"/>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7.35" hidden="false" customHeight="false" outlineLevel="0" collapsed="false">
      <c r="A1" s="1" t="s">
        <v>0</v>
      </c>
    </row>
    <row r="2" customFormat="false" ht="15" hidden="false" customHeight="false" outlineLevel="0" collapsed="false">
      <c r="A2" s="2" t="s">
        <v>1</v>
      </c>
    </row>
    <row r="3" customFormat="false" ht="23.85" hidden="false" customHeight="false" outlineLevel="0" collapsed="false">
      <c r="A3" s="3" t="s">
        <v>2</v>
      </c>
    </row>
    <row r="4" customFormat="false" ht="15" hidden="false" customHeight="false" outlineLevel="0" collapsed="false">
      <c r="A4" s="4"/>
    </row>
    <row r="5" customFormat="false" ht="15" hidden="false" customHeight="false" outlineLevel="0" collapsed="false">
      <c r="A5" s="5" t="s">
        <v>3</v>
      </c>
    </row>
    <row r="6" customFormat="false" ht="35.05" hidden="false" customHeight="false" outlineLevel="0" collapsed="false">
      <c r="A6" s="4" t="s">
        <v>4</v>
      </c>
    </row>
    <row r="7" customFormat="false" ht="15" hidden="false" customHeight="false" outlineLevel="0" collapsed="false">
      <c r="A7" s="4"/>
    </row>
    <row r="8" customFormat="false" ht="15" hidden="false" customHeight="false" outlineLevel="0" collapsed="false">
      <c r="A8" s="5" t="s">
        <v>5</v>
      </c>
    </row>
    <row r="9" customFormat="false" ht="23.85" hidden="false" customHeight="false" outlineLevel="0" collapsed="false">
      <c r="A9" s="4" t="s">
        <v>6</v>
      </c>
    </row>
    <row r="10" customFormat="false" ht="23.8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4"/>
    </row>
    <row r="15" customFormat="false" ht="15" hidden="false" customHeight="false" outlineLevel="0" collapsed="false">
      <c r="A15" s="5" t="s">
        <v>11</v>
      </c>
    </row>
    <row r="16" customFormat="false" ht="23.85" hidden="false" customHeight="false" outlineLevel="0" collapsed="false">
      <c r="A16" s="4" t="s">
        <v>12</v>
      </c>
    </row>
    <row r="17" customFormat="false" ht="15" hidden="false" customHeight="false" outlineLevel="0" collapsed="false">
      <c r="A17" s="4"/>
    </row>
    <row r="18" customFormat="false" ht="15" hidden="false" customHeight="false" outlineLevel="0" collapsed="false">
      <c r="A18" s="5" t="s">
        <v>13</v>
      </c>
    </row>
    <row r="19" customFormat="false" ht="23.85" hidden="false" customHeight="false" outlineLevel="0" collapsed="false">
      <c r="A19"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8"/>
    <col collapsed="false" customWidth="true" hidden="false" outlineLevel="0" max="5" min="5" style="0" width="12"/>
    <col collapsed="false" customWidth="true" hidden="false" outlineLevel="0" max="7" min="6" style="0" width="11"/>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4"/>
    <col collapsed="false" customWidth="true" hidden="false" outlineLevel="0" max="15" min="15" style="0" width="15"/>
  </cols>
  <sheetData>
    <row r="1" customFormat="false" ht="17.35" hidden="false" customHeight="false" outlineLevel="0" collapsed="false">
      <c r="A1" s="6" t="s">
        <v>15</v>
      </c>
    </row>
    <row r="2" customFormat="false" ht="15" hidden="false" customHeight="false" outlineLevel="0" collapsed="false">
      <c r="A2" s="7" t="s">
        <v>16</v>
      </c>
    </row>
    <row r="3" customFormat="false" ht="30" hidden="false" customHeight="true" outlineLevel="0" collapsed="false">
      <c r="A3" s="8" t="s">
        <v>2</v>
      </c>
      <c r="B3" s="8"/>
      <c r="C3" s="8"/>
      <c r="D3" s="8"/>
      <c r="E3" s="8"/>
      <c r="F3" s="8"/>
      <c r="G3" s="8"/>
      <c r="H3" s="8"/>
      <c r="I3" s="8"/>
      <c r="J3" s="8"/>
      <c r="K3" s="8"/>
      <c r="L3" s="8"/>
      <c r="M3" s="8"/>
      <c r="N3" s="8"/>
      <c r="O3" s="8"/>
    </row>
    <row r="5" customFormat="false" ht="35.05" hidden="false" customHeight="false" outlineLevel="0" collapsed="false">
      <c r="A5" s="9" t="s">
        <v>17</v>
      </c>
      <c r="B5" s="9" t="s">
        <v>18</v>
      </c>
      <c r="C5" s="9" t="s">
        <v>19</v>
      </c>
      <c r="D5" s="9" t="s">
        <v>20</v>
      </c>
      <c r="E5" s="9" t="s">
        <v>21</v>
      </c>
      <c r="F5" s="9" t="s">
        <v>22</v>
      </c>
      <c r="G5" s="9" t="s">
        <v>23</v>
      </c>
      <c r="H5" s="9" t="s">
        <v>24</v>
      </c>
      <c r="I5" s="9" t="s">
        <v>25</v>
      </c>
      <c r="J5" s="9" t="s">
        <v>26</v>
      </c>
      <c r="K5" s="9" t="s">
        <v>27</v>
      </c>
      <c r="L5" s="9" t="s">
        <v>28</v>
      </c>
      <c r="M5" s="9" t="s">
        <v>29</v>
      </c>
      <c r="N5" s="9" t="s">
        <v>30</v>
      </c>
      <c r="O5" s="9" t="s">
        <v>31</v>
      </c>
    </row>
    <row r="6" customFormat="false" ht="15" hidden="false" customHeight="false" outlineLevel="0" collapsed="false">
      <c r="A6" s="10" t="s">
        <v>32</v>
      </c>
      <c r="B6" s="11" t="str">
        <f aca="false">IFERROR(INDEX('Budget Summary'!$B$7:$B$20,MATCH(A6,'Budget Summary'!$A$7:$A$20,0)),"")</f>
        <v>1.6.1</v>
      </c>
      <c r="C6" s="11" t="str">
        <f aca="false">IFERROR(INDEX('Budget Summary'!$C$7:$C$20,MATCH(A6,'Budget Summary'!$A$7:$A$20,0)),"")</f>
        <v>Travel costs</v>
      </c>
      <c r="D6" s="10" t="s">
        <v>33</v>
      </c>
      <c r="E6" s="10" t="s">
        <v>34</v>
      </c>
      <c r="F6" s="10" t="s">
        <v>35</v>
      </c>
      <c r="G6" s="10" t="s">
        <v>36</v>
      </c>
      <c r="H6" s="10" t="n">
        <v>4</v>
      </c>
      <c r="I6" s="12" t="n">
        <v>150</v>
      </c>
      <c r="J6" s="13" t="n">
        <v>1</v>
      </c>
      <c r="K6" s="10" t="n">
        <v>1</v>
      </c>
      <c r="L6" s="14" t="n">
        <f aca="false">IF(H6="","",H6*I6*IF(J6="",1,J6)*IF(K6="",1,K6))</f>
        <v>600</v>
      </c>
      <c r="M6" s="15" t="n">
        <v>0.905</v>
      </c>
      <c r="N6" s="14" t="n">
        <f aca="false">IF(L6="","",L6*M6)</f>
        <v>543</v>
      </c>
      <c r="O6" s="14" t="n">
        <f aca="false">IF(L6="","",L6-N6)</f>
        <v>57</v>
      </c>
    </row>
    <row r="7" customFormat="false" ht="15" hidden="false" customHeight="false" outlineLevel="0" collapsed="false">
      <c r="A7" s="16"/>
      <c r="B7" s="11" t="str">
        <f aca="false">IFERROR(INDEX('Budget Summary'!$B$7:$B$20,MATCH(A7,'Budget Summary'!$A$7:$A$20,0)),"")</f>
        <v/>
      </c>
      <c r="C7" s="11" t="str">
        <f aca="false">IFERROR(INDEX('Budget Summary'!$C$7:$C$20,MATCH(A7,'Budget Summary'!$A$7:$A$20,0)),"")</f>
        <v/>
      </c>
      <c r="D7" s="16"/>
      <c r="E7" s="16"/>
      <c r="F7" s="16"/>
      <c r="G7" s="16"/>
      <c r="H7" s="16"/>
      <c r="I7" s="17"/>
      <c r="J7" s="18"/>
      <c r="K7" s="16"/>
      <c r="L7" s="14" t="str">
        <f aca="false">IF(H7="","",H7*I7*IF(J7="",1,J7)*IF(K7="",1,K7))</f>
        <v/>
      </c>
      <c r="M7" s="15" t="n">
        <v>0.905</v>
      </c>
      <c r="N7" s="14" t="str">
        <f aca="false">IF(L7="","",L7*M7)</f>
        <v/>
      </c>
      <c r="O7" s="14" t="str">
        <f aca="false">IF(L7="","",L7-N7)</f>
        <v/>
      </c>
    </row>
    <row r="8" customFormat="false" ht="15" hidden="false" customHeight="false" outlineLevel="0" collapsed="false">
      <c r="A8" s="16"/>
      <c r="B8" s="11" t="str">
        <f aca="false">IFERROR(INDEX('Budget Summary'!$B$7:$B$20,MATCH(A8,'Budget Summary'!$A$7:$A$20,0)),"")</f>
        <v/>
      </c>
      <c r="C8" s="11" t="str">
        <f aca="false">IFERROR(INDEX('Budget Summary'!$C$7:$C$20,MATCH(A8,'Budget Summary'!$A$7:$A$20,0)),"")</f>
        <v/>
      </c>
      <c r="D8" s="16"/>
      <c r="E8" s="16"/>
      <c r="F8" s="16"/>
      <c r="G8" s="16"/>
      <c r="H8" s="16"/>
      <c r="I8" s="17"/>
      <c r="J8" s="18"/>
      <c r="K8" s="16"/>
      <c r="L8" s="14" t="str">
        <f aca="false">IF(H8="","",H8*I8*IF(J8="",1,J8)*IF(K8="",1,K8))</f>
        <v/>
      </c>
      <c r="M8" s="15" t="n">
        <v>0.905</v>
      </c>
      <c r="N8" s="14" t="str">
        <f aca="false">IF(L8="","",L8*M8)</f>
        <v/>
      </c>
      <c r="O8" s="14" t="str">
        <f aca="false">IF(L8="","",L8-N8)</f>
        <v/>
      </c>
    </row>
    <row r="9" customFormat="false" ht="15" hidden="false" customHeight="false" outlineLevel="0" collapsed="false">
      <c r="A9" s="16"/>
      <c r="B9" s="11" t="str">
        <f aca="false">IFERROR(INDEX('Budget Summary'!$B$7:$B$20,MATCH(A9,'Budget Summary'!$A$7:$A$20,0)),"")</f>
        <v/>
      </c>
      <c r="C9" s="11" t="str">
        <f aca="false">IFERROR(INDEX('Budget Summary'!$C$7:$C$20,MATCH(A9,'Budget Summary'!$A$7:$A$20,0)),"")</f>
        <v/>
      </c>
      <c r="D9" s="16"/>
      <c r="E9" s="16"/>
      <c r="F9" s="16"/>
      <c r="G9" s="16"/>
      <c r="H9" s="16"/>
      <c r="I9" s="17"/>
      <c r="J9" s="18"/>
      <c r="K9" s="16"/>
      <c r="L9" s="14" t="str">
        <f aca="false">IF(H9="","",H9*I9*IF(J9="",1,J9)*IF(K9="",1,K9))</f>
        <v/>
      </c>
      <c r="M9" s="15" t="n">
        <v>0.905</v>
      </c>
      <c r="N9" s="14" t="str">
        <f aca="false">IF(L9="","",L9*M9)</f>
        <v/>
      </c>
      <c r="O9" s="14" t="str">
        <f aca="false">IF(L9="","",L9-N9)</f>
        <v/>
      </c>
    </row>
    <row r="10" customFormat="false" ht="15" hidden="false" customHeight="false" outlineLevel="0" collapsed="false">
      <c r="A10" s="16"/>
      <c r="B10" s="11" t="str">
        <f aca="false">IFERROR(INDEX('Budget Summary'!$B$7:$B$20,MATCH(A10,'Budget Summary'!$A$7:$A$20,0)),"")</f>
        <v/>
      </c>
      <c r="C10" s="11" t="str">
        <f aca="false">IFERROR(INDEX('Budget Summary'!$C$7:$C$20,MATCH(A10,'Budget Summary'!$A$7:$A$20,0)),"")</f>
        <v/>
      </c>
      <c r="D10" s="16"/>
      <c r="E10" s="16"/>
      <c r="F10" s="16"/>
      <c r="G10" s="16"/>
      <c r="H10" s="16"/>
      <c r="I10" s="17"/>
      <c r="J10" s="18"/>
      <c r="K10" s="16"/>
      <c r="L10" s="14" t="str">
        <f aca="false">IF(H10="","",H10*I10*IF(J10="",1,J10)*IF(K10="",1,K10))</f>
        <v/>
      </c>
      <c r="M10" s="15" t="n">
        <v>0.905</v>
      </c>
      <c r="N10" s="14" t="str">
        <f aca="false">IF(L10="","",L10*M10)</f>
        <v/>
      </c>
      <c r="O10" s="14" t="str">
        <f aca="false">IF(L10="","",L10-N10)</f>
        <v/>
      </c>
    </row>
    <row r="11" customFormat="false" ht="15" hidden="false" customHeight="false" outlineLevel="0" collapsed="false">
      <c r="A11" s="16"/>
      <c r="B11" s="11" t="str">
        <f aca="false">IFERROR(INDEX('Budget Summary'!$B$7:$B$20,MATCH(A11,'Budget Summary'!$A$7:$A$20,0)),"")</f>
        <v/>
      </c>
      <c r="C11" s="11" t="str">
        <f aca="false">IFERROR(INDEX('Budget Summary'!$C$7:$C$20,MATCH(A11,'Budget Summary'!$A$7:$A$20,0)),"")</f>
        <v/>
      </c>
      <c r="D11" s="16"/>
      <c r="E11" s="16"/>
      <c r="F11" s="16"/>
      <c r="G11" s="16"/>
      <c r="H11" s="16"/>
      <c r="I11" s="17"/>
      <c r="J11" s="18"/>
      <c r="K11" s="16"/>
      <c r="L11" s="14" t="str">
        <f aca="false">IF(H11="","",H11*I11*IF(J11="",1,J11)*IF(K11="",1,K11))</f>
        <v/>
      </c>
      <c r="M11" s="15" t="n">
        <v>0.905</v>
      </c>
      <c r="N11" s="14" t="str">
        <f aca="false">IF(L11="","",L11*M11)</f>
        <v/>
      </c>
      <c r="O11" s="14" t="str">
        <f aca="false">IF(L11="","",L11-N11)</f>
        <v/>
      </c>
    </row>
    <row r="12" customFormat="false" ht="15" hidden="false" customHeight="false" outlineLevel="0" collapsed="false">
      <c r="A12" s="16"/>
      <c r="B12" s="11" t="str">
        <f aca="false">IFERROR(INDEX('Budget Summary'!$B$7:$B$20,MATCH(A12,'Budget Summary'!$A$7:$A$20,0)),"")</f>
        <v/>
      </c>
      <c r="C12" s="11" t="str">
        <f aca="false">IFERROR(INDEX('Budget Summary'!$C$7:$C$20,MATCH(A12,'Budget Summary'!$A$7:$A$20,0)),"")</f>
        <v/>
      </c>
      <c r="D12" s="16"/>
      <c r="E12" s="16"/>
      <c r="F12" s="16"/>
      <c r="G12" s="16"/>
      <c r="H12" s="16"/>
      <c r="I12" s="17"/>
      <c r="J12" s="18"/>
      <c r="K12" s="16"/>
      <c r="L12" s="14" t="str">
        <f aca="false">IF(H12="","",H12*I12*IF(J12="",1,J12)*IF(K12="",1,K12))</f>
        <v/>
      </c>
      <c r="M12" s="15" t="n">
        <v>0.905</v>
      </c>
      <c r="N12" s="14" t="str">
        <f aca="false">IF(L12="","",L12*M12)</f>
        <v/>
      </c>
      <c r="O12" s="14" t="str">
        <f aca="false">IF(L12="","",L12-N12)</f>
        <v/>
      </c>
    </row>
    <row r="13" customFormat="false" ht="15" hidden="false" customHeight="false" outlineLevel="0" collapsed="false">
      <c r="A13" s="16"/>
      <c r="B13" s="11" t="str">
        <f aca="false">IFERROR(INDEX('Budget Summary'!$B$7:$B$20,MATCH(A13,'Budget Summary'!$A$7:$A$20,0)),"")</f>
        <v/>
      </c>
      <c r="C13" s="11" t="str">
        <f aca="false">IFERROR(INDEX('Budget Summary'!$C$7:$C$20,MATCH(A13,'Budget Summary'!$A$7:$A$20,0)),"")</f>
        <v/>
      </c>
      <c r="D13" s="16"/>
      <c r="E13" s="16"/>
      <c r="F13" s="16"/>
      <c r="G13" s="16"/>
      <c r="H13" s="16"/>
      <c r="I13" s="17"/>
      <c r="J13" s="18"/>
      <c r="K13" s="16"/>
      <c r="L13" s="14" t="str">
        <f aca="false">IF(H13="","",H13*I13*IF(J13="",1,J13)*IF(K13="",1,K13))</f>
        <v/>
      </c>
      <c r="M13" s="15" t="n">
        <v>0.905</v>
      </c>
      <c r="N13" s="14" t="str">
        <f aca="false">IF(L13="","",L13*M13)</f>
        <v/>
      </c>
      <c r="O13" s="14" t="str">
        <f aca="false">IF(L13="","",L13-N13)</f>
        <v/>
      </c>
    </row>
    <row r="14" customFormat="false" ht="15" hidden="false" customHeight="false" outlineLevel="0" collapsed="false">
      <c r="A14" s="16"/>
      <c r="B14" s="11" t="str">
        <f aca="false">IFERROR(INDEX('Budget Summary'!$B$7:$B$20,MATCH(A14,'Budget Summary'!$A$7:$A$20,0)),"")</f>
        <v/>
      </c>
      <c r="C14" s="11" t="str">
        <f aca="false">IFERROR(INDEX('Budget Summary'!$C$7:$C$20,MATCH(A14,'Budget Summary'!$A$7:$A$20,0)),"")</f>
        <v/>
      </c>
      <c r="D14" s="16"/>
      <c r="E14" s="16"/>
      <c r="F14" s="16"/>
      <c r="G14" s="16"/>
      <c r="H14" s="16"/>
      <c r="I14" s="17"/>
      <c r="J14" s="18"/>
      <c r="K14" s="16"/>
      <c r="L14" s="14" t="str">
        <f aca="false">IF(H14="","",H14*I14*IF(J14="",1,J14)*IF(K14="",1,K14))</f>
        <v/>
      </c>
      <c r="M14" s="15" t="n">
        <v>0.905</v>
      </c>
      <c r="N14" s="14" t="str">
        <f aca="false">IF(L14="","",L14*M14)</f>
        <v/>
      </c>
      <c r="O14" s="14" t="str">
        <f aca="false">IF(L14="","",L14-N14)</f>
        <v/>
      </c>
    </row>
    <row r="15" customFormat="false" ht="15" hidden="false" customHeight="false" outlineLevel="0" collapsed="false">
      <c r="A15" s="16"/>
      <c r="B15" s="11" t="str">
        <f aca="false">IFERROR(INDEX('Budget Summary'!$B$7:$B$20,MATCH(A15,'Budget Summary'!$A$7:$A$20,0)),"")</f>
        <v/>
      </c>
      <c r="C15" s="11" t="str">
        <f aca="false">IFERROR(INDEX('Budget Summary'!$C$7:$C$20,MATCH(A15,'Budget Summary'!$A$7:$A$20,0)),"")</f>
        <v/>
      </c>
      <c r="D15" s="16"/>
      <c r="E15" s="16"/>
      <c r="F15" s="16"/>
      <c r="G15" s="16"/>
      <c r="H15" s="16"/>
      <c r="I15" s="17"/>
      <c r="J15" s="18"/>
      <c r="K15" s="16"/>
      <c r="L15" s="14" t="str">
        <f aca="false">IF(H15="","",H15*I15*IF(J15="",1,J15)*IF(K15="",1,K15))</f>
        <v/>
      </c>
      <c r="M15" s="15" t="n">
        <v>0.905</v>
      </c>
      <c r="N15" s="14" t="str">
        <f aca="false">IF(L15="","",L15*M15)</f>
        <v/>
      </c>
      <c r="O15" s="14" t="str">
        <f aca="false">IF(L15="","",L15-N15)</f>
        <v/>
      </c>
    </row>
    <row r="16" customFormat="false" ht="15" hidden="false" customHeight="false" outlineLevel="0" collapsed="false">
      <c r="A16" s="16"/>
      <c r="B16" s="11" t="str">
        <f aca="false">IFERROR(INDEX('Budget Summary'!$B$7:$B$20,MATCH(A16,'Budget Summary'!$A$7:$A$20,0)),"")</f>
        <v/>
      </c>
      <c r="C16" s="11" t="str">
        <f aca="false">IFERROR(INDEX('Budget Summary'!$C$7:$C$20,MATCH(A16,'Budget Summary'!$A$7:$A$20,0)),"")</f>
        <v/>
      </c>
      <c r="D16" s="16"/>
      <c r="E16" s="16"/>
      <c r="F16" s="16"/>
      <c r="G16" s="16"/>
      <c r="H16" s="16"/>
      <c r="I16" s="17"/>
      <c r="J16" s="18"/>
      <c r="K16" s="16"/>
      <c r="L16" s="14" t="str">
        <f aca="false">IF(H16="","",H16*I16*IF(J16="",1,J16)*IF(K16="",1,K16))</f>
        <v/>
      </c>
      <c r="M16" s="15" t="n">
        <v>0.905</v>
      </c>
      <c r="N16" s="14" t="str">
        <f aca="false">IF(L16="","",L16*M16)</f>
        <v/>
      </c>
      <c r="O16" s="14" t="str">
        <f aca="false">IF(L16="","",L16-N16)</f>
        <v/>
      </c>
    </row>
    <row r="17" customFormat="false" ht="15" hidden="false" customHeight="false" outlineLevel="0" collapsed="false">
      <c r="A17" s="16"/>
      <c r="B17" s="11" t="str">
        <f aca="false">IFERROR(INDEX('Budget Summary'!$B$7:$B$20,MATCH(A17,'Budget Summary'!$A$7:$A$20,0)),"")</f>
        <v/>
      </c>
      <c r="C17" s="11" t="str">
        <f aca="false">IFERROR(INDEX('Budget Summary'!$C$7:$C$20,MATCH(A17,'Budget Summary'!$A$7:$A$20,0)),"")</f>
        <v/>
      </c>
      <c r="D17" s="16"/>
      <c r="E17" s="16"/>
      <c r="F17" s="16"/>
      <c r="G17" s="16"/>
      <c r="H17" s="16"/>
      <c r="I17" s="17"/>
      <c r="J17" s="18"/>
      <c r="K17" s="16"/>
      <c r="L17" s="14" t="str">
        <f aca="false">IF(H17="","",H17*I17*IF(J17="",1,J17)*IF(K17="",1,K17))</f>
        <v/>
      </c>
      <c r="M17" s="15" t="n">
        <v>0.905</v>
      </c>
      <c r="N17" s="14" t="str">
        <f aca="false">IF(L17="","",L17*M17)</f>
        <v/>
      </c>
      <c r="O17" s="14" t="str">
        <f aca="false">IF(L17="","",L17-N17)</f>
        <v/>
      </c>
    </row>
    <row r="18" customFormat="false" ht="15" hidden="false" customHeight="false" outlineLevel="0" collapsed="false">
      <c r="A18" s="16"/>
      <c r="B18" s="11" t="str">
        <f aca="false">IFERROR(INDEX('Budget Summary'!$B$7:$B$20,MATCH(A18,'Budget Summary'!$A$7:$A$20,0)),"")</f>
        <v/>
      </c>
      <c r="C18" s="11" t="str">
        <f aca="false">IFERROR(INDEX('Budget Summary'!$C$7:$C$20,MATCH(A18,'Budget Summary'!$A$7:$A$20,0)),"")</f>
        <v/>
      </c>
      <c r="D18" s="16"/>
      <c r="E18" s="16"/>
      <c r="F18" s="16"/>
      <c r="G18" s="16"/>
      <c r="H18" s="16"/>
      <c r="I18" s="17"/>
      <c r="J18" s="18"/>
      <c r="K18" s="16"/>
      <c r="L18" s="14" t="str">
        <f aca="false">IF(H18="","",H18*I18*IF(J18="",1,J18)*IF(K18="",1,K18))</f>
        <v/>
      </c>
      <c r="M18" s="15" t="n">
        <v>0.905</v>
      </c>
      <c r="N18" s="14" t="str">
        <f aca="false">IF(L18="","",L18*M18)</f>
        <v/>
      </c>
      <c r="O18" s="14" t="str">
        <f aca="false">IF(L18="","",L18-N18)</f>
        <v/>
      </c>
    </row>
    <row r="19" customFormat="false" ht="15" hidden="false" customHeight="false" outlineLevel="0" collapsed="false">
      <c r="A19" s="16"/>
      <c r="B19" s="11" t="str">
        <f aca="false">IFERROR(INDEX('Budget Summary'!$B$7:$B$20,MATCH(A19,'Budget Summary'!$A$7:$A$20,0)),"")</f>
        <v/>
      </c>
      <c r="C19" s="11" t="str">
        <f aca="false">IFERROR(INDEX('Budget Summary'!$C$7:$C$20,MATCH(A19,'Budget Summary'!$A$7:$A$20,0)),"")</f>
        <v/>
      </c>
      <c r="D19" s="16"/>
      <c r="E19" s="16"/>
      <c r="F19" s="16"/>
      <c r="G19" s="16"/>
      <c r="H19" s="16"/>
      <c r="I19" s="17"/>
      <c r="J19" s="18"/>
      <c r="K19" s="16"/>
      <c r="L19" s="14" t="str">
        <f aca="false">IF(H19="","",H19*I19*IF(J19="",1,J19)*IF(K19="",1,K19))</f>
        <v/>
      </c>
      <c r="M19" s="15" t="n">
        <v>0.905</v>
      </c>
      <c r="N19" s="14" t="str">
        <f aca="false">IF(L19="","",L19*M19)</f>
        <v/>
      </c>
      <c r="O19" s="14" t="str">
        <f aca="false">IF(L19="","",L19-N19)</f>
        <v/>
      </c>
    </row>
    <row r="20" customFormat="false" ht="15" hidden="false" customHeight="false" outlineLevel="0" collapsed="false">
      <c r="A20" s="16"/>
      <c r="B20" s="11" t="str">
        <f aca="false">IFERROR(INDEX('Budget Summary'!$B$7:$B$20,MATCH(A20,'Budget Summary'!$A$7:$A$20,0)),"")</f>
        <v/>
      </c>
      <c r="C20" s="11" t="str">
        <f aca="false">IFERROR(INDEX('Budget Summary'!$C$7:$C$20,MATCH(A20,'Budget Summary'!$A$7:$A$20,0)),"")</f>
        <v/>
      </c>
      <c r="D20" s="16"/>
      <c r="E20" s="16"/>
      <c r="F20" s="16"/>
      <c r="G20" s="16"/>
      <c r="H20" s="16"/>
      <c r="I20" s="17"/>
      <c r="J20" s="18"/>
      <c r="K20" s="16"/>
      <c r="L20" s="14" t="str">
        <f aca="false">IF(H20="","",H20*I20*IF(J20="",1,J20)*IF(K20="",1,K20))</f>
        <v/>
      </c>
      <c r="M20" s="15" t="n">
        <v>0.905</v>
      </c>
      <c r="N20" s="14" t="str">
        <f aca="false">IF(L20="","",L20*M20)</f>
        <v/>
      </c>
      <c r="O20" s="14" t="str">
        <f aca="false">IF(L20="","",L20-N20)</f>
        <v/>
      </c>
    </row>
    <row r="21" customFormat="false" ht="15" hidden="false" customHeight="false" outlineLevel="0" collapsed="false">
      <c r="A21" s="16"/>
      <c r="B21" s="11" t="str">
        <f aca="false">IFERROR(INDEX('Budget Summary'!$B$7:$B$20,MATCH(A21,'Budget Summary'!$A$7:$A$20,0)),"")</f>
        <v/>
      </c>
      <c r="C21" s="11" t="str">
        <f aca="false">IFERROR(INDEX('Budget Summary'!$C$7:$C$20,MATCH(A21,'Budget Summary'!$A$7:$A$20,0)),"")</f>
        <v/>
      </c>
      <c r="D21" s="16"/>
      <c r="E21" s="16"/>
      <c r="F21" s="16"/>
      <c r="G21" s="16"/>
      <c r="H21" s="16"/>
      <c r="I21" s="17"/>
      <c r="J21" s="18"/>
      <c r="K21" s="16"/>
      <c r="L21" s="14" t="str">
        <f aca="false">IF(H21="","",H21*I21*IF(J21="",1,J21)*IF(K21="",1,K21))</f>
        <v/>
      </c>
      <c r="M21" s="15" t="n">
        <v>0.905</v>
      </c>
      <c r="N21" s="14" t="str">
        <f aca="false">IF(L21="","",L21*M21)</f>
        <v/>
      </c>
      <c r="O21" s="14" t="str">
        <f aca="false">IF(L21="","",L21-N21)</f>
        <v/>
      </c>
    </row>
    <row r="22" customFormat="false" ht="15" hidden="false" customHeight="false" outlineLevel="0" collapsed="false">
      <c r="A22" s="16"/>
      <c r="B22" s="11" t="str">
        <f aca="false">IFERROR(INDEX('Budget Summary'!$B$7:$B$20,MATCH(A22,'Budget Summary'!$A$7:$A$20,0)),"")</f>
        <v/>
      </c>
      <c r="C22" s="11" t="str">
        <f aca="false">IFERROR(INDEX('Budget Summary'!$C$7:$C$20,MATCH(A22,'Budget Summary'!$A$7:$A$20,0)),"")</f>
        <v/>
      </c>
      <c r="D22" s="16"/>
      <c r="E22" s="16"/>
      <c r="F22" s="16"/>
      <c r="G22" s="16"/>
      <c r="H22" s="16"/>
      <c r="I22" s="17"/>
      <c r="J22" s="18"/>
      <c r="K22" s="16"/>
      <c r="L22" s="14" t="str">
        <f aca="false">IF(H22="","",H22*I22*IF(J22="",1,J22)*IF(K22="",1,K22))</f>
        <v/>
      </c>
      <c r="M22" s="15" t="n">
        <v>0.905</v>
      </c>
      <c r="N22" s="14" t="str">
        <f aca="false">IF(L22="","",L22*M22)</f>
        <v/>
      </c>
      <c r="O22" s="14" t="str">
        <f aca="false">IF(L22="","",L22-N22)</f>
        <v/>
      </c>
    </row>
    <row r="23" customFormat="false" ht="15" hidden="false" customHeight="false" outlineLevel="0" collapsed="false">
      <c r="A23" s="16"/>
      <c r="B23" s="11" t="str">
        <f aca="false">IFERROR(INDEX('Budget Summary'!$B$7:$B$20,MATCH(A23,'Budget Summary'!$A$7:$A$20,0)),"")</f>
        <v/>
      </c>
      <c r="C23" s="11" t="str">
        <f aca="false">IFERROR(INDEX('Budget Summary'!$C$7:$C$20,MATCH(A23,'Budget Summary'!$A$7:$A$20,0)),"")</f>
        <v/>
      </c>
      <c r="D23" s="16"/>
      <c r="E23" s="16"/>
      <c r="F23" s="16"/>
      <c r="G23" s="16"/>
      <c r="H23" s="16"/>
      <c r="I23" s="17"/>
      <c r="J23" s="18"/>
      <c r="K23" s="16"/>
      <c r="L23" s="14" t="str">
        <f aca="false">IF(H23="","",H23*I23*IF(J23="",1,J23)*IF(K23="",1,K23))</f>
        <v/>
      </c>
      <c r="M23" s="15" t="n">
        <v>0.905</v>
      </c>
      <c r="N23" s="14" t="str">
        <f aca="false">IF(L23="","",L23*M23)</f>
        <v/>
      </c>
      <c r="O23" s="14" t="str">
        <f aca="false">IF(L23="","",L23-N23)</f>
        <v/>
      </c>
    </row>
    <row r="24" customFormat="false" ht="15" hidden="false" customHeight="false" outlineLevel="0" collapsed="false">
      <c r="A24" s="16"/>
      <c r="B24" s="11" t="str">
        <f aca="false">IFERROR(INDEX('Budget Summary'!$B$7:$B$20,MATCH(A24,'Budget Summary'!$A$7:$A$20,0)),"")</f>
        <v/>
      </c>
      <c r="C24" s="11" t="str">
        <f aca="false">IFERROR(INDEX('Budget Summary'!$C$7:$C$20,MATCH(A24,'Budget Summary'!$A$7:$A$20,0)),"")</f>
        <v/>
      </c>
      <c r="D24" s="16"/>
      <c r="E24" s="16"/>
      <c r="F24" s="16"/>
      <c r="G24" s="16"/>
      <c r="H24" s="16"/>
      <c r="I24" s="17"/>
      <c r="J24" s="18"/>
      <c r="K24" s="16"/>
      <c r="L24" s="14" t="str">
        <f aca="false">IF(H24="","",H24*I24*IF(J24="",1,J24)*IF(K24="",1,K24))</f>
        <v/>
      </c>
      <c r="M24" s="15" t="n">
        <v>0.905</v>
      </c>
      <c r="N24" s="14" t="str">
        <f aca="false">IF(L24="","",L24*M24)</f>
        <v/>
      </c>
      <c r="O24" s="14" t="str">
        <f aca="false">IF(L24="","",L24-N24)</f>
        <v/>
      </c>
    </row>
    <row r="25" customFormat="false" ht="15" hidden="false" customHeight="false" outlineLevel="0" collapsed="false">
      <c r="A25" s="16"/>
      <c r="B25" s="11" t="str">
        <f aca="false">IFERROR(INDEX('Budget Summary'!$B$7:$B$20,MATCH(A25,'Budget Summary'!$A$7:$A$20,0)),"")</f>
        <v/>
      </c>
      <c r="C25" s="11" t="str">
        <f aca="false">IFERROR(INDEX('Budget Summary'!$C$7:$C$20,MATCH(A25,'Budget Summary'!$A$7:$A$20,0)),"")</f>
        <v/>
      </c>
      <c r="D25" s="16"/>
      <c r="E25" s="16"/>
      <c r="F25" s="16"/>
      <c r="G25" s="16"/>
      <c r="H25" s="16"/>
      <c r="I25" s="17"/>
      <c r="J25" s="18"/>
      <c r="K25" s="16"/>
      <c r="L25" s="14" t="str">
        <f aca="false">IF(H25="","",H25*I25*IF(J25="",1,J25)*IF(K25="",1,K25))</f>
        <v/>
      </c>
      <c r="M25" s="15" t="n">
        <v>0.905</v>
      </c>
      <c r="N25" s="14" t="str">
        <f aca="false">IF(L25="","",L25*M25)</f>
        <v/>
      </c>
      <c r="O25" s="14" t="str">
        <f aca="false">IF(L25="","",L25-N25)</f>
        <v/>
      </c>
    </row>
    <row r="26" customFormat="false" ht="15" hidden="false" customHeight="false" outlineLevel="0" collapsed="false">
      <c r="A26" s="16"/>
      <c r="B26" s="11" t="str">
        <f aca="false">IFERROR(INDEX('Budget Summary'!$B$7:$B$20,MATCH(A26,'Budget Summary'!$A$7:$A$20,0)),"")</f>
        <v/>
      </c>
      <c r="C26" s="11" t="str">
        <f aca="false">IFERROR(INDEX('Budget Summary'!$C$7:$C$20,MATCH(A26,'Budget Summary'!$A$7:$A$20,0)),"")</f>
        <v/>
      </c>
      <c r="D26" s="16"/>
      <c r="E26" s="16"/>
      <c r="F26" s="16"/>
      <c r="G26" s="16"/>
      <c r="H26" s="16"/>
      <c r="I26" s="17"/>
      <c r="J26" s="18"/>
      <c r="K26" s="16"/>
      <c r="L26" s="14" t="str">
        <f aca="false">IF(H26="","",H26*I26*IF(J26="",1,J26)*IF(K26="",1,K26))</f>
        <v/>
      </c>
      <c r="M26" s="15" t="n">
        <v>0.905</v>
      </c>
      <c r="N26" s="14" t="str">
        <f aca="false">IF(L26="","",L26*M26)</f>
        <v/>
      </c>
      <c r="O26" s="14" t="str">
        <f aca="false">IF(L26="","",L26-N26)</f>
        <v/>
      </c>
    </row>
    <row r="27" customFormat="false" ht="15" hidden="false" customHeight="false" outlineLevel="0" collapsed="false">
      <c r="A27" s="16"/>
      <c r="B27" s="11" t="str">
        <f aca="false">IFERROR(INDEX('Budget Summary'!$B$7:$B$20,MATCH(A27,'Budget Summary'!$A$7:$A$20,0)),"")</f>
        <v/>
      </c>
      <c r="C27" s="11" t="str">
        <f aca="false">IFERROR(INDEX('Budget Summary'!$C$7:$C$20,MATCH(A27,'Budget Summary'!$A$7:$A$20,0)),"")</f>
        <v/>
      </c>
      <c r="D27" s="16"/>
      <c r="E27" s="16"/>
      <c r="F27" s="16"/>
      <c r="G27" s="16"/>
      <c r="H27" s="16"/>
      <c r="I27" s="17"/>
      <c r="J27" s="18"/>
      <c r="K27" s="16"/>
      <c r="L27" s="14" t="str">
        <f aca="false">IF(H27="","",H27*I27*IF(J27="",1,J27)*IF(K27="",1,K27))</f>
        <v/>
      </c>
      <c r="M27" s="15" t="n">
        <v>0.905</v>
      </c>
      <c r="N27" s="14" t="str">
        <f aca="false">IF(L27="","",L27*M27)</f>
        <v/>
      </c>
      <c r="O27" s="14" t="str">
        <f aca="false">IF(L27="","",L27-N27)</f>
        <v/>
      </c>
    </row>
    <row r="28" customFormat="false" ht="15" hidden="false" customHeight="false" outlineLevel="0" collapsed="false">
      <c r="A28" s="16"/>
      <c r="B28" s="11" t="str">
        <f aca="false">IFERROR(INDEX('Budget Summary'!$B$7:$B$20,MATCH(A28,'Budget Summary'!$A$7:$A$20,0)),"")</f>
        <v/>
      </c>
      <c r="C28" s="11" t="str">
        <f aca="false">IFERROR(INDEX('Budget Summary'!$C$7:$C$20,MATCH(A28,'Budget Summary'!$A$7:$A$20,0)),"")</f>
        <v/>
      </c>
      <c r="D28" s="16"/>
      <c r="E28" s="16"/>
      <c r="F28" s="16"/>
      <c r="G28" s="16"/>
      <c r="H28" s="16"/>
      <c r="I28" s="17"/>
      <c r="J28" s="18"/>
      <c r="K28" s="16"/>
      <c r="L28" s="14" t="str">
        <f aca="false">IF(H28="","",H28*I28*IF(J28="",1,J28)*IF(K28="",1,K28))</f>
        <v/>
      </c>
      <c r="M28" s="15" t="n">
        <v>0.905</v>
      </c>
      <c r="N28" s="14" t="str">
        <f aca="false">IF(L28="","",L28*M28)</f>
        <v/>
      </c>
      <c r="O28" s="14" t="str">
        <f aca="false">IF(L28="","",L28-N28)</f>
        <v/>
      </c>
    </row>
    <row r="29" customFormat="false" ht="15" hidden="false" customHeight="false" outlineLevel="0" collapsed="false">
      <c r="A29" s="16"/>
      <c r="B29" s="11" t="str">
        <f aca="false">IFERROR(INDEX('Budget Summary'!$B$7:$B$20,MATCH(A29,'Budget Summary'!$A$7:$A$20,0)),"")</f>
        <v/>
      </c>
      <c r="C29" s="11" t="str">
        <f aca="false">IFERROR(INDEX('Budget Summary'!$C$7:$C$20,MATCH(A29,'Budget Summary'!$A$7:$A$20,0)),"")</f>
        <v/>
      </c>
      <c r="D29" s="16"/>
      <c r="E29" s="16"/>
      <c r="F29" s="16"/>
      <c r="G29" s="16"/>
      <c r="H29" s="16"/>
      <c r="I29" s="17"/>
      <c r="J29" s="18"/>
      <c r="K29" s="16"/>
      <c r="L29" s="14" t="str">
        <f aca="false">IF(H29="","",H29*I29*IF(J29="",1,J29)*IF(K29="",1,K29))</f>
        <v/>
      </c>
      <c r="M29" s="15" t="n">
        <v>0.905</v>
      </c>
      <c r="N29" s="14" t="str">
        <f aca="false">IF(L29="","",L29*M29)</f>
        <v/>
      </c>
      <c r="O29" s="14" t="str">
        <f aca="false">IF(L29="","",L29-N29)</f>
        <v/>
      </c>
    </row>
    <row r="30" customFormat="false" ht="15" hidden="false" customHeight="false" outlineLevel="0" collapsed="false">
      <c r="A30" s="16"/>
      <c r="B30" s="11" t="str">
        <f aca="false">IFERROR(INDEX('Budget Summary'!$B$7:$B$20,MATCH(A30,'Budget Summary'!$A$7:$A$20,0)),"")</f>
        <v/>
      </c>
      <c r="C30" s="11" t="str">
        <f aca="false">IFERROR(INDEX('Budget Summary'!$C$7:$C$20,MATCH(A30,'Budget Summary'!$A$7:$A$20,0)),"")</f>
        <v/>
      </c>
      <c r="D30" s="16"/>
      <c r="E30" s="16"/>
      <c r="F30" s="16"/>
      <c r="G30" s="16"/>
      <c r="H30" s="16"/>
      <c r="I30" s="17"/>
      <c r="J30" s="18"/>
      <c r="K30" s="16"/>
      <c r="L30" s="14" t="str">
        <f aca="false">IF(H30="","",H30*I30*IF(J30="",1,J30)*IF(K30="",1,K30))</f>
        <v/>
      </c>
      <c r="M30" s="15" t="n">
        <v>0.905</v>
      </c>
      <c r="N30" s="14" t="str">
        <f aca="false">IF(L30="","",L30*M30)</f>
        <v/>
      </c>
      <c r="O30" s="14" t="str">
        <f aca="false">IF(L30="","",L30-N30)</f>
        <v/>
      </c>
    </row>
    <row r="31" customFormat="false" ht="15" hidden="false" customHeight="false" outlineLevel="0" collapsed="false">
      <c r="A31" s="16"/>
      <c r="B31" s="11" t="str">
        <f aca="false">IFERROR(INDEX('Budget Summary'!$B$7:$B$20,MATCH(A31,'Budget Summary'!$A$7:$A$20,0)),"")</f>
        <v/>
      </c>
      <c r="C31" s="11" t="str">
        <f aca="false">IFERROR(INDEX('Budget Summary'!$C$7:$C$20,MATCH(A31,'Budget Summary'!$A$7:$A$20,0)),"")</f>
        <v/>
      </c>
      <c r="D31" s="16"/>
      <c r="E31" s="16"/>
      <c r="F31" s="16"/>
      <c r="G31" s="16"/>
      <c r="H31" s="16"/>
      <c r="I31" s="17"/>
      <c r="J31" s="18"/>
      <c r="K31" s="16"/>
      <c r="L31" s="14" t="str">
        <f aca="false">IF(H31="","",H31*I31*IF(J31="",1,J31)*IF(K31="",1,K31))</f>
        <v/>
      </c>
      <c r="M31" s="15" t="n">
        <v>0.905</v>
      </c>
      <c r="N31" s="14" t="str">
        <f aca="false">IF(L31="","",L31*M31)</f>
        <v/>
      </c>
      <c r="O31" s="14" t="str">
        <f aca="false">IF(L31="","",L31-N31)</f>
        <v/>
      </c>
    </row>
    <row r="32" customFormat="false" ht="15" hidden="false" customHeight="false" outlineLevel="0" collapsed="false">
      <c r="A32" s="16"/>
      <c r="B32" s="11" t="str">
        <f aca="false">IFERROR(INDEX('Budget Summary'!$B$7:$B$20,MATCH(A32,'Budget Summary'!$A$7:$A$20,0)),"")</f>
        <v/>
      </c>
      <c r="C32" s="11" t="str">
        <f aca="false">IFERROR(INDEX('Budget Summary'!$C$7:$C$20,MATCH(A32,'Budget Summary'!$A$7:$A$20,0)),"")</f>
        <v/>
      </c>
      <c r="D32" s="16"/>
      <c r="E32" s="16"/>
      <c r="F32" s="16"/>
      <c r="G32" s="16"/>
      <c r="H32" s="16"/>
      <c r="I32" s="17"/>
      <c r="J32" s="18"/>
      <c r="K32" s="16"/>
      <c r="L32" s="14" t="str">
        <f aca="false">IF(H32="","",H32*I32*IF(J32="",1,J32)*IF(K32="",1,K32))</f>
        <v/>
      </c>
      <c r="M32" s="15" t="n">
        <v>0.905</v>
      </c>
      <c r="N32" s="14" t="str">
        <f aca="false">IF(L32="","",L32*M32)</f>
        <v/>
      </c>
      <c r="O32" s="14" t="str">
        <f aca="false">IF(L32="","",L32-N32)</f>
        <v/>
      </c>
    </row>
    <row r="33" customFormat="false" ht="15" hidden="false" customHeight="false" outlineLevel="0" collapsed="false">
      <c r="A33" s="16"/>
      <c r="B33" s="11" t="str">
        <f aca="false">IFERROR(INDEX('Budget Summary'!$B$7:$B$20,MATCH(A33,'Budget Summary'!$A$7:$A$20,0)),"")</f>
        <v/>
      </c>
      <c r="C33" s="11" t="str">
        <f aca="false">IFERROR(INDEX('Budget Summary'!$C$7:$C$20,MATCH(A33,'Budget Summary'!$A$7:$A$20,0)),"")</f>
        <v/>
      </c>
      <c r="D33" s="16"/>
      <c r="E33" s="16"/>
      <c r="F33" s="16"/>
      <c r="G33" s="16"/>
      <c r="H33" s="16"/>
      <c r="I33" s="17"/>
      <c r="J33" s="18"/>
      <c r="K33" s="16"/>
      <c r="L33" s="14" t="str">
        <f aca="false">IF(H33="","",H33*I33*IF(J33="",1,J33)*IF(K33="",1,K33))</f>
        <v/>
      </c>
      <c r="M33" s="15" t="n">
        <v>0.905</v>
      </c>
      <c r="N33" s="14" t="str">
        <f aca="false">IF(L33="","",L33*M33)</f>
        <v/>
      </c>
      <c r="O33" s="14" t="str">
        <f aca="false">IF(L33="","",L33-N33)</f>
        <v/>
      </c>
    </row>
    <row r="34" customFormat="false" ht="15" hidden="false" customHeight="false" outlineLevel="0" collapsed="false">
      <c r="A34" s="16"/>
      <c r="B34" s="11" t="str">
        <f aca="false">IFERROR(INDEX('Budget Summary'!$B$7:$B$20,MATCH(A34,'Budget Summary'!$A$7:$A$20,0)),"")</f>
        <v/>
      </c>
      <c r="C34" s="11" t="str">
        <f aca="false">IFERROR(INDEX('Budget Summary'!$C$7:$C$20,MATCH(A34,'Budget Summary'!$A$7:$A$20,0)),"")</f>
        <v/>
      </c>
      <c r="D34" s="16"/>
      <c r="E34" s="16"/>
      <c r="F34" s="16"/>
      <c r="G34" s="16"/>
      <c r="H34" s="16"/>
      <c r="I34" s="17"/>
      <c r="J34" s="18"/>
      <c r="K34" s="16"/>
      <c r="L34" s="14" t="str">
        <f aca="false">IF(H34="","",H34*I34*IF(J34="",1,J34)*IF(K34="",1,K34))</f>
        <v/>
      </c>
      <c r="M34" s="15" t="n">
        <v>0.905</v>
      </c>
      <c r="N34" s="14" t="str">
        <f aca="false">IF(L34="","",L34*M34)</f>
        <v/>
      </c>
      <c r="O34" s="14" t="str">
        <f aca="false">IF(L34="","",L34-N34)</f>
        <v/>
      </c>
    </row>
    <row r="35" customFormat="false" ht="15" hidden="false" customHeight="false" outlineLevel="0" collapsed="false">
      <c r="A35" s="16"/>
      <c r="B35" s="11" t="str">
        <f aca="false">IFERROR(INDEX('Budget Summary'!$B$7:$B$20,MATCH(A35,'Budget Summary'!$A$7:$A$20,0)),"")</f>
        <v/>
      </c>
      <c r="C35" s="11" t="str">
        <f aca="false">IFERROR(INDEX('Budget Summary'!$C$7:$C$20,MATCH(A35,'Budget Summary'!$A$7:$A$20,0)),"")</f>
        <v/>
      </c>
      <c r="D35" s="16"/>
      <c r="E35" s="16"/>
      <c r="F35" s="16"/>
      <c r="G35" s="16"/>
      <c r="H35" s="16"/>
      <c r="I35" s="17"/>
      <c r="J35" s="18"/>
      <c r="K35" s="16"/>
      <c r="L35" s="14" t="str">
        <f aca="false">IF(H35="","",H35*I35*IF(J35="",1,J35)*IF(K35="",1,K35))</f>
        <v/>
      </c>
      <c r="M35" s="15" t="n">
        <v>0.905</v>
      </c>
      <c r="N35" s="14" t="str">
        <f aca="false">IF(L35="","",L35*M35)</f>
        <v/>
      </c>
      <c r="O35" s="14" t="str">
        <f aca="false">IF(L35="","",L35-N35)</f>
        <v/>
      </c>
    </row>
    <row r="36" customFormat="false" ht="15" hidden="false" customHeight="false" outlineLevel="0" collapsed="false">
      <c r="A36" s="16"/>
      <c r="B36" s="11" t="str">
        <f aca="false">IFERROR(INDEX('Budget Summary'!$B$7:$B$20,MATCH(A36,'Budget Summary'!$A$7:$A$20,0)),"")</f>
        <v/>
      </c>
      <c r="C36" s="11" t="str">
        <f aca="false">IFERROR(INDEX('Budget Summary'!$C$7:$C$20,MATCH(A36,'Budget Summary'!$A$7:$A$20,0)),"")</f>
        <v/>
      </c>
      <c r="D36" s="16"/>
      <c r="E36" s="16"/>
      <c r="F36" s="16"/>
      <c r="G36" s="16"/>
      <c r="H36" s="16"/>
      <c r="I36" s="17"/>
      <c r="J36" s="18"/>
      <c r="K36" s="16"/>
      <c r="L36" s="14" t="str">
        <f aca="false">IF(H36="","",H36*I36*IF(J36="",1,J36)*IF(K36="",1,K36))</f>
        <v/>
      </c>
      <c r="M36" s="15" t="n">
        <v>0.905</v>
      </c>
      <c r="N36" s="14" t="str">
        <f aca="false">IF(L36="","",L36*M36)</f>
        <v/>
      </c>
      <c r="O36" s="14" t="str">
        <f aca="false">IF(L36="","",L36-N36)</f>
        <v/>
      </c>
    </row>
    <row r="37" customFormat="false" ht="15" hidden="false" customHeight="false" outlineLevel="0" collapsed="false">
      <c r="A37" s="16"/>
      <c r="B37" s="11" t="str">
        <f aca="false">IFERROR(INDEX('Budget Summary'!$B$7:$B$20,MATCH(A37,'Budget Summary'!$A$7:$A$20,0)),"")</f>
        <v/>
      </c>
      <c r="C37" s="11" t="str">
        <f aca="false">IFERROR(INDEX('Budget Summary'!$C$7:$C$20,MATCH(A37,'Budget Summary'!$A$7:$A$20,0)),"")</f>
        <v/>
      </c>
      <c r="D37" s="16"/>
      <c r="E37" s="16"/>
      <c r="F37" s="16"/>
      <c r="G37" s="16"/>
      <c r="H37" s="16"/>
      <c r="I37" s="17"/>
      <c r="J37" s="18"/>
      <c r="K37" s="16"/>
      <c r="L37" s="14" t="str">
        <f aca="false">IF(H37="","",H37*I37*IF(J37="",1,J37)*IF(K37="",1,K37))</f>
        <v/>
      </c>
      <c r="M37" s="15" t="n">
        <v>0.905</v>
      </c>
      <c r="N37" s="14" t="str">
        <f aca="false">IF(L37="","",L37*M37)</f>
        <v/>
      </c>
      <c r="O37" s="14" t="str">
        <f aca="false">IF(L37="","",L37-N37)</f>
        <v/>
      </c>
    </row>
    <row r="38" customFormat="false" ht="15" hidden="false" customHeight="false" outlineLevel="0" collapsed="false">
      <c r="A38" s="16"/>
      <c r="B38" s="11" t="str">
        <f aca="false">IFERROR(INDEX('Budget Summary'!$B$7:$B$20,MATCH(A38,'Budget Summary'!$A$7:$A$20,0)),"")</f>
        <v/>
      </c>
      <c r="C38" s="11" t="str">
        <f aca="false">IFERROR(INDEX('Budget Summary'!$C$7:$C$20,MATCH(A38,'Budget Summary'!$A$7:$A$20,0)),"")</f>
        <v/>
      </c>
      <c r="D38" s="16"/>
      <c r="E38" s="16"/>
      <c r="F38" s="16"/>
      <c r="G38" s="16"/>
      <c r="H38" s="16"/>
      <c r="I38" s="17"/>
      <c r="J38" s="18"/>
      <c r="K38" s="16"/>
      <c r="L38" s="14" t="str">
        <f aca="false">IF(H38="","",H38*I38*IF(J38="",1,J38)*IF(K38="",1,K38))</f>
        <v/>
      </c>
      <c r="M38" s="15" t="n">
        <v>0.905</v>
      </c>
      <c r="N38" s="14" t="str">
        <f aca="false">IF(L38="","",L38*M38)</f>
        <v/>
      </c>
      <c r="O38" s="14" t="str">
        <f aca="false">IF(L38="","",L38-N38)</f>
        <v/>
      </c>
    </row>
    <row r="39" customFormat="false" ht="15" hidden="false" customHeight="false" outlineLevel="0" collapsed="false">
      <c r="A39" s="16"/>
      <c r="B39" s="11" t="str">
        <f aca="false">IFERROR(INDEX('Budget Summary'!$B$7:$B$20,MATCH(A39,'Budget Summary'!$A$7:$A$20,0)),"")</f>
        <v/>
      </c>
      <c r="C39" s="11" t="str">
        <f aca="false">IFERROR(INDEX('Budget Summary'!$C$7:$C$20,MATCH(A39,'Budget Summary'!$A$7:$A$20,0)),"")</f>
        <v/>
      </c>
      <c r="D39" s="16"/>
      <c r="E39" s="16"/>
      <c r="F39" s="16"/>
      <c r="G39" s="16"/>
      <c r="H39" s="16"/>
      <c r="I39" s="17"/>
      <c r="J39" s="18"/>
      <c r="K39" s="16"/>
      <c r="L39" s="14" t="str">
        <f aca="false">IF(H39="","",H39*I39*IF(J39="",1,J39)*IF(K39="",1,K39))</f>
        <v/>
      </c>
      <c r="M39" s="15" t="n">
        <v>0.905</v>
      </c>
      <c r="N39" s="14" t="str">
        <f aca="false">IF(L39="","",L39*M39)</f>
        <v/>
      </c>
      <c r="O39" s="14" t="str">
        <f aca="false">IF(L39="","",L39-N39)</f>
        <v/>
      </c>
    </row>
    <row r="40" customFormat="false" ht="15" hidden="false" customHeight="false" outlineLevel="0" collapsed="false">
      <c r="A40" s="16"/>
      <c r="B40" s="11" t="str">
        <f aca="false">IFERROR(INDEX('Budget Summary'!$B$7:$B$20,MATCH(A40,'Budget Summary'!$A$7:$A$20,0)),"")</f>
        <v/>
      </c>
      <c r="C40" s="11" t="str">
        <f aca="false">IFERROR(INDEX('Budget Summary'!$C$7:$C$20,MATCH(A40,'Budget Summary'!$A$7:$A$20,0)),"")</f>
        <v/>
      </c>
      <c r="D40" s="16"/>
      <c r="E40" s="16"/>
      <c r="F40" s="16"/>
      <c r="G40" s="16"/>
      <c r="H40" s="16"/>
      <c r="I40" s="17"/>
      <c r="J40" s="18"/>
      <c r="K40" s="16"/>
      <c r="L40" s="14" t="str">
        <f aca="false">IF(H40="","",H40*I40*IF(J40="",1,J40)*IF(K40="",1,K40))</f>
        <v/>
      </c>
      <c r="M40" s="15" t="n">
        <v>0.905</v>
      </c>
      <c r="N40" s="14" t="str">
        <f aca="false">IF(L40="","",L40*M40)</f>
        <v/>
      </c>
      <c r="O40" s="14" t="str">
        <f aca="false">IF(L40="","",L40-N40)</f>
        <v/>
      </c>
    </row>
    <row r="41" customFormat="false" ht="15" hidden="false" customHeight="false" outlineLevel="0" collapsed="false">
      <c r="A41" s="16"/>
      <c r="B41" s="11" t="str">
        <f aca="false">IFERROR(INDEX('Budget Summary'!$B$7:$B$20,MATCH(A41,'Budget Summary'!$A$7:$A$20,0)),"")</f>
        <v/>
      </c>
      <c r="C41" s="11" t="str">
        <f aca="false">IFERROR(INDEX('Budget Summary'!$C$7:$C$20,MATCH(A41,'Budget Summary'!$A$7:$A$20,0)),"")</f>
        <v/>
      </c>
      <c r="D41" s="16"/>
      <c r="E41" s="16"/>
      <c r="F41" s="16"/>
      <c r="G41" s="16"/>
      <c r="H41" s="16"/>
      <c r="I41" s="17"/>
      <c r="J41" s="18"/>
      <c r="K41" s="16"/>
      <c r="L41" s="14" t="str">
        <f aca="false">IF(H41="","",H41*I41*IF(J41="",1,J41)*IF(K41="",1,K41))</f>
        <v/>
      </c>
      <c r="M41" s="15" t="n">
        <v>0.905</v>
      </c>
      <c r="N41" s="14" t="str">
        <f aca="false">IF(L41="","",L41*M41)</f>
        <v/>
      </c>
      <c r="O41" s="14" t="str">
        <f aca="false">IF(L41="","",L41-N41)</f>
        <v/>
      </c>
    </row>
    <row r="42" customFormat="false" ht="15" hidden="false" customHeight="false" outlineLevel="0" collapsed="false">
      <c r="A42" s="16"/>
      <c r="B42" s="11" t="str">
        <f aca="false">IFERROR(INDEX('Budget Summary'!$B$7:$B$20,MATCH(A42,'Budget Summary'!$A$7:$A$20,0)),"")</f>
        <v/>
      </c>
      <c r="C42" s="11" t="str">
        <f aca="false">IFERROR(INDEX('Budget Summary'!$C$7:$C$20,MATCH(A42,'Budget Summary'!$A$7:$A$20,0)),"")</f>
        <v/>
      </c>
      <c r="D42" s="16"/>
      <c r="E42" s="16"/>
      <c r="F42" s="16"/>
      <c r="G42" s="16"/>
      <c r="H42" s="16"/>
      <c r="I42" s="17"/>
      <c r="J42" s="18"/>
      <c r="K42" s="16"/>
      <c r="L42" s="14" t="str">
        <f aca="false">IF(H42="","",H42*I42*IF(J42="",1,J42)*IF(K42="",1,K42))</f>
        <v/>
      </c>
      <c r="M42" s="15" t="n">
        <v>0.905</v>
      </c>
      <c r="N42" s="14" t="str">
        <f aca="false">IF(L42="","",L42*M42)</f>
        <v/>
      </c>
      <c r="O42" s="14" t="str">
        <f aca="false">IF(L42="","",L42-N42)</f>
        <v/>
      </c>
    </row>
    <row r="43" customFormat="false" ht="15" hidden="false" customHeight="false" outlineLevel="0" collapsed="false">
      <c r="A43" s="16"/>
      <c r="B43" s="11" t="str">
        <f aca="false">IFERROR(INDEX('Budget Summary'!$B$7:$B$20,MATCH(A43,'Budget Summary'!$A$7:$A$20,0)),"")</f>
        <v/>
      </c>
      <c r="C43" s="11" t="str">
        <f aca="false">IFERROR(INDEX('Budget Summary'!$C$7:$C$20,MATCH(A43,'Budget Summary'!$A$7:$A$20,0)),"")</f>
        <v/>
      </c>
      <c r="D43" s="16"/>
      <c r="E43" s="16"/>
      <c r="F43" s="16"/>
      <c r="G43" s="16"/>
      <c r="H43" s="16"/>
      <c r="I43" s="17"/>
      <c r="J43" s="18"/>
      <c r="K43" s="16"/>
      <c r="L43" s="14" t="str">
        <f aca="false">IF(H43="","",H43*I43*IF(J43="",1,J43)*IF(K43="",1,K43))</f>
        <v/>
      </c>
      <c r="M43" s="15" t="n">
        <v>0.905</v>
      </c>
      <c r="N43" s="14" t="str">
        <f aca="false">IF(L43="","",L43*M43)</f>
        <v/>
      </c>
      <c r="O43" s="14" t="str">
        <f aca="false">IF(L43="","",L43-N43)</f>
        <v/>
      </c>
    </row>
    <row r="44" customFormat="false" ht="15" hidden="false" customHeight="false" outlineLevel="0" collapsed="false">
      <c r="A44" s="16"/>
      <c r="B44" s="11" t="str">
        <f aca="false">IFERROR(INDEX('Budget Summary'!$B$7:$B$20,MATCH(A44,'Budget Summary'!$A$7:$A$20,0)),"")</f>
        <v/>
      </c>
      <c r="C44" s="11" t="str">
        <f aca="false">IFERROR(INDEX('Budget Summary'!$C$7:$C$20,MATCH(A44,'Budget Summary'!$A$7:$A$20,0)),"")</f>
        <v/>
      </c>
      <c r="D44" s="16"/>
      <c r="E44" s="16"/>
      <c r="F44" s="16"/>
      <c r="G44" s="16"/>
      <c r="H44" s="16"/>
      <c r="I44" s="17"/>
      <c r="J44" s="18"/>
      <c r="K44" s="16"/>
      <c r="L44" s="14" t="str">
        <f aca="false">IF(H44="","",H44*I44*IF(J44="",1,J44)*IF(K44="",1,K44))</f>
        <v/>
      </c>
      <c r="M44" s="15" t="n">
        <v>0.905</v>
      </c>
      <c r="N44" s="14" t="str">
        <f aca="false">IF(L44="","",L44*M44)</f>
        <v/>
      </c>
      <c r="O44" s="14" t="str">
        <f aca="false">IF(L44="","",L44-N44)</f>
        <v/>
      </c>
    </row>
    <row r="45" customFormat="false" ht="15" hidden="false" customHeight="false" outlineLevel="0" collapsed="false">
      <c r="A45" s="16"/>
      <c r="B45" s="11" t="str">
        <f aca="false">IFERROR(INDEX('Budget Summary'!$B$7:$B$20,MATCH(A45,'Budget Summary'!$A$7:$A$20,0)),"")</f>
        <v/>
      </c>
      <c r="C45" s="11" t="str">
        <f aca="false">IFERROR(INDEX('Budget Summary'!$C$7:$C$20,MATCH(A45,'Budget Summary'!$A$7:$A$20,0)),"")</f>
        <v/>
      </c>
      <c r="D45" s="16"/>
      <c r="E45" s="16"/>
      <c r="F45" s="16"/>
      <c r="G45" s="16"/>
      <c r="H45" s="16"/>
      <c r="I45" s="17"/>
      <c r="J45" s="18"/>
      <c r="K45" s="16"/>
      <c r="L45" s="14" t="str">
        <f aca="false">IF(H45="","",H45*I45*IF(J45="",1,J45)*IF(K45="",1,K45))</f>
        <v/>
      </c>
      <c r="M45" s="15" t="n">
        <v>0.905</v>
      </c>
      <c r="N45" s="14" t="str">
        <f aca="false">IF(L45="","",L45*M45)</f>
        <v/>
      </c>
      <c r="O45" s="14" t="str">
        <f aca="false">IF(L45="","",L45-N45)</f>
        <v/>
      </c>
    </row>
    <row r="46" customFormat="false" ht="15" hidden="false" customHeight="false" outlineLevel="0" collapsed="false">
      <c r="A46" s="16"/>
      <c r="B46" s="11" t="str">
        <f aca="false">IFERROR(INDEX('Budget Summary'!$B$7:$B$20,MATCH(A46,'Budget Summary'!$A$7:$A$20,0)),"")</f>
        <v/>
      </c>
      <c r="C46" s="11" t="str">
        <f aca="false">IFERROR(INDEX('Budget Summary'!$C$7:$C$20,MATCH(A46,'Budget Summary'!$A$7:$A$20,0)),"")</f>
        <v/>
      </c>
      <c r="D46" s="16"/>
      <c r="E46" s="16"/>
      <c r="F46" s="16"/>
      <c r="G46" s="16"/>
      <c r="H46" s="16"/>
      <c r="I46" s="17"/>
      <c r="J46" s="18"/>
      <c r="K46" s="16"/>
      <c r="L46" s="14" t="str">
        <f aca="false">IF(H46="","",H46*I46*IF(J46="",1,J46)*IF(K46="",1,K46))</f>
        <v/>
      </c>
      <c r="M46" s="15" t="n">
        <v>0.905</v>
      </c>
      <c r="N46" s="14" t="str">
        <f aca="false">IF(L46="","",L46*M46)</f>
        <v/>
      </c>
      <c r="O46" s="14" t="str">
        <f aca="false">IF(L46="","",L46-N46)</f>
        <v/>
      </c>
    </row>
    <row r="47" customFormat="false" ht="15" hidden="false" customHeight="false" outlineLevel="0" collapsed="false">
      <c r="A47" s="16"/>
      <c r="B47" s="11" t="str">
        <f aca="false">IFERROR(INDEX('Budget Summary'!$B$7:$B$20,MATCH(A47,'Budget Summary'!$A$7:$A$20,0)),"")</f>
        <v/>
      </c>
      <c r="C47" s="11" t="str">
        <f aca="false">IFERROR(INDEX('Budget Summary'!$C$7:$C$20,MATCH(A47,'Budget Summary'!$A$7:$A$20,0)),"")</f>
        <v/>
      </c>
      <c r="D47" s="16"/>
      <c r="E47" s="16"/>
      <c r="F47" s="16"/>
      <c r="G47" s="16"/>
      <c r="H47" s="16"/>
      <c r="I47" s="17"/>
      <c r="J47" s="18"/>
      <c r="K47" s="16"/>
      <c r="L47" s="14" t="str">
        <f aca="false">IF(H47="","",H47*I47*IF(J47="",1,J47)*IF(K47="",1,K47))</f>
        <v/>
      </c>
      <c r="M47" s="15" t="n">
        <v>0.905</v>
      </c>
      <c r="N47" s="14" t="str">
        <f aca="false">IF(L47="","",L47*M47)</f>
        <v/>
      </c>
      <c r="O47" s="14" t="str">
        <f aca="false">IF(L47="","",L47-N47)</f>
        <v/>
      </c>
    </row>
    <row r="48" customFormat="false" ht="15" hidden="false" customHeight="false" outlineLevel="0" collapsed="false">
      <c r="A48" s="16"/>
      <c r="B48" s="11" t="str">
        <f aca="false">IFERROR(INDEX('Budget Summary'!$B$7:$B$20,MATCH(A48,'Budget Summary'!$A$7:$A$20,0)),"")</f>
        <v/>
      </c>
      <c r="C48" s="11" t="str">
        <f aca="false">IFERROR(INDEX('Budget Summary'!$C$7:$C$20,MATCH(A48,'Budget Summary'!$A$7:$A$20,0)),"")</f>
        <v/>
      </c>
      <c r="D48" s="16"/>
      <c r="E48" s="16"/>
      <c r="F48" s="16"/>
      <c r="G48" s="16"/>
      <c r="H48" s="16"/>
      <c r="I48" s="17"/>
      <c r="J48" s="18"/>
      <c r="K48" s="16"/>
      <c r="L48" s="14" t="str">
        <f aca="false">IF(H48="","",H48*I48*IF(J48="",1,J48)*IF(K48="",1,K48))</f>
        <v/>
      </c>
      <c r="M48" s="15" t="n">
        <v>0.905</v>
      </c>
      <c r="N48" s="14" t="str">
        <f aca="false">IF(L48="","",L48*M48)</f>
        <v/>
      </c>
      <c r="O48" s="14" t="str">
        <f aca="false">IF(L48="","",L48-N48)</f>
        <v/>
      </c>
    </row>
    <row r="49" customFormat="false" ht="15" hidden="false" customHeight="false" outlineLevel="0" collapsed="false">
      <c r="A49" s="16"/>
      <c r="B49" s="11" t="str">
        <f aca="false">IFERROR(INDEX('Budget Summary'!$B$7:$B$20,MATCH(A49,'Budget Summary'!$A$7:$A$20,0)),"")</f>
        <v/>
      </c>
      <c r="C49" s="11" t="str">
        <f aca="false">IFERROR(INDEX('Budget Summary'!$C$7:$C$20,MATCH(A49,'Budget Summary'!$A$7:$A$20,0)),"")</f>
        <v/>
      </c>
      <c r="D49" s="16"/>
      <c r="E49" s="16"/>
      <c r="F49" s="16"/>
      <c r="G49" s="16"/>
      <c r="H49" s="16"/>
      <c r="I49" s="17"/>
      <c r="J49" s="18"/>
      <c r="K49" s="16"/>
      <c r="L49" s="14" t="str">
        <f aca="false">IF(H49="","",H49*I49*IF(J49="",1,J49)*IF(K49="",1,K49))</f>
        <v/>
      </c>
      <c r="M49" s="15" t="n">
        <v>0.905</v>
      </c>
      <c r="N49" s="14" t="str">
        <f aca="false">IF(L49="","",L49*M49)</f>
        <v/>
      </c>
      <c r="O49" s="14" t="str">
        <f aca="false">IF(L49="","",L49-N49)</f>
        <v/>
      </c>
    </row>
    <row r="50" customFormat="false" ht="15" hidden="false" customHeight="false" outlineLevel="0" collapsed="false">
      <c r="A50" s="16"/>
      <c r="B50" s="11" t="str">
        <f aca="false">IFERROR(INDEX('Budget Summary'!$B$7:$B$20,MATCH(A50,'Budget Summary'!$A$7:$A$20,0)),"")</f>
        <v/>
      </c>
      <c r="C50" s="11" t="str">
        <f aca="false">IFERROR(INDEX('Budget Summary'!$C$7:$C$20,MATCH(A50,'Budget Summary'!$A$7:$A$20,0)),"")</f>
        <v/>
      </c>
      <c r="D50" s="16"/>
      <c r="E50" s="16"/>
      <c r="F50" s="16"/>
      <c r="G50" s="16"/>
      <c r="H50" s="16"/>
      <c r="I50" s="17"/>
      <c r="J50" s="18"/>
      <c r="K50" s="16"/>
      <c r="L50" s="14" t="str">
        <f aca="false">IF(H50="","",H50*I50*IF(J50="",1,J50)*IF(K50="",1,K50))</f>
        <v/>
      </c>
      <c r="M50" s="15" t="n">
        <v>0.905</v>
      </c>
      <c r="N50" s="14" t="str">
        <f aca="false">IF(L50="","",L50*M50)</f>
        <v/>
      </c>
      <c r="O50" s="14" t="str">
        <f aca="false">IF(L50="","",L50-N50)</f>
        <v/>
      </c>
    </row>
    <row r="51" customFormat="false" ht="15" hidden="false" customHeight="false" outlineLevel="0" collapsed="false">
      <c r="A51" s="16"/>
      <c r="B51" s="11" t="str">
        <f aca="false">IFERROR(INDEX('Budget Summary'!$B$7:$B$20,MATCH(A51,'Budget Summary'!$A$7:$A$20,0)),"")</f>
        <v/>
      </c>
      <c r="C51" s="11" t="str">
        <f aca="false">IFERROR(INDEX('Budget Summary'!$C$7:$C$20,MATCH(A51,'Budget Summary'!$A$7:$A$20,0)),"")</f>
        <v/>
      </c>
      <c r="D51" s="16"/>
      <c r="E51" s="16"/>
      <c r="F51" s="16"/>
      <c r="G51" s="16"/>
      <c r="H51" s="16"/>
      <c r="I51" s="17"/>
      <c r="J51" s="18"/>
      <c r="K51" s="16"/>
      <c r="L51" s="14" t="str">
        <f aca="false">IF(H51="","",H51*I51*IF(J51="",1,J51)*IF(K51="",1,K51))</f>
        <v/>
      </c>
      <c r="M51" s="15" t="n">
        <v>0.905</v>
      </c>
      <c r="N51" s="14" t="str">
        <f aca="false">IF(L51="","",L51*M51)</f>
        <v/>
      </c>
      <c r="O51" s="14" t="str">
        <f aca="false">IF(L51="","",L51-N51)</f>
        <v/>
      </c>
    </row>
    <row r="52" customFormat="false" ht="15" hidden="false" customHeight="false" outlineLevel="0" collapsed="false">
      <c r="A52" s="16"/>
      <c r="B52" s="11" t="str">
        <f aca="false">IFERROR(INDEX('Budget Summary'!$B$7:$B$20,MATCH(A52,'Budget Summary'!$A$7:$A$20,0)),"")</f>
        <v/>
      </c>
      <c r="C52" s="11" t="str">
        <f aca="false">IFERROR(INDEX('Budget Summary'!$C$7:$C$20,MATCH(A52,'Budget Summary'!$A$7:$A$20,0)),"")</f>
        <v/>
      </c>
      <c r="D52" s="16"/>
      <c r="E52" s="16"/>
      <c r="F52" s="16"/>
      <c r="G52" s="16"/>
      <c r="H52" s="16"/>
      <c r="I52" s="17"/>
      <c r="J52" s="18"/>
      <c r="K52" s="16"/>
      <c r="L52" s="14" t="str">
        <f aca="false">IF(H52="","",H52*I52*IF(J52="",1,J52)*IF(K52="",1,K52))</f>
        <v/>
      </c>
      <c r="M52" s="15" t="n">
        <v>0.905</v>
      </c>
      <c r="N52" s="14" t="str">
        <f aca="false">IF(L52="","",L52*M52)</f>
        <v/>
      </c>
      <c r="O52" s="14" t="str">
        <f aca="false">IF(L52="","",L52-N52)</f>
        <v/>
      </c>
    </row>
    <row r="53" customFormat="false" ht="15" hidden="false" customHeight="false" outlineLevel="0" collapsed="false">
      <c r="A53" s="16"/>
      <c r="B53" s="11" t="str">
        <f aca="false">IFERROR(INDEX('Budget Summary'!$B$7:$B$20,MATCH(A53,'Budget Summary'!$A$7:$A$20,0)),"")</f>
        <v/>
      </c>
      <c r="C53" s="11" t="str">
        <f aca="false">IFERROR(INDEX('Budget Summary'!$C$7:$C$20,MATCH(A53,'Budget Summary'!$A$7:$A$20,0)),"")</f>
        <v/>
      </c>
      <c r="D53" s="16"/>
      <c r="E53" s="16"/>
      <c r="F53" s="16"/>
      <c r="G53" s="16"/>
      <c r="H53" s="16"/>
      <c r="I53" s="17"/>
      <c r="J53" s="18"/>
      <c r="K53" s="16"/>
      <c r="L53" s="14" t="str">
        <f aca="false">IF(H53="","",H53*I53*IF(J53="",1,J53)*IF(K53="",1,K53))</f>
        <v/>
      </c>
      <c r="M53" s="15" t="n">
        <v>0.905</v>
      </c>
      <c r="N53" s="14" t="str">
        <f aca="false">IF(L53="","",L53*M53)</f>
        <v/>
      </c>
      <c r="O53" s="14" t="str">
        <f aca="false">IF(L53="","",L53-N53)</f>
        <v/>
      </c>
    </row>
    <row r="54" customFormat="false" ht="15" hidden="false" customHeight="false" outlineLevel="0" collapsed="false">
      <c r="A54" s="16"/>
      <c r="B54" s="11" t="str">
        <f aca="false">IFERROR(INDEX('Budget Summary'!$B$7:$B$20,MATCH(A54,'Budget Summary'!$A$7:$A$20,0)),"")</f>
        <v/>
      </c>
      <c r="C54" s="11" t="str">
        <f aca="false">IFERROR(INDEX('Budget Summary'!$C$7:$C$20,MATCH(A54,'Budget Summary'!$A$7:$A$20,0)),"")</f>
        <v/>
      </c>
      <c r="D54" s="16"/>
      <c r="E54" s="16"/>
      <c r="F54" s="16"/>
      <c r="G54" s="16"/>
      <c r="H54" s="16"/>
      <c r="I54" s="17"/>
      <c r="J54" s="18"/>
      <c r="K54" s="16"/>
      <c r="L54" s="14" t="str">
        <f aca="false">IF(H54="","",H54*I54*IF(J54="",1,J54)*IF(K54="",1,K54))</f>
        <v/>
      </c>
      <c r="M54" s="15" t="n">
        <v>0.905</v>
      </c>
      <c r="N54" s="14" t="str">
        <f aca="false">IF(L54="","",L54*M54)</f>
        <v/>
      </c>
      <c r="O54" s="14" t="str">
        <f aca="false">IF(L54="","",L54-N54)</f>
        <v/>
      </c>
    </row>
    <row r="55" customFormat="false" ht="15" hidden="false" customHeight="false" outlineLevel="0" collapsed="false">
      <c r="A55" s="16"/>
      <c r="B55" s="11" t="str">
        <f aca="false">IFERROR(INDEX('Budget Summary'!$B$7:$B$20,MATCH(A55,'Budget Summary'!$A$7:$A$20,0)),"")</f>
        <v/>
      </c>
      <c r="C55" s="11" t="str">
        <f aca="false">IFERROR(INDEX('Budget Summary'!$C$7:$C$20,MATCH(A55,'Budget Summary'!$A$7:$A$20,0)),"")</f>
        <v/>
      </c>
      <c r="D55" s="16"/>
      <c r="E55" s="16"/>
      <c r="F55" s="16"/>
      <c r="G55" s="16"/>
      <c r="H55" s="16"/>
      <c r="I55" s="17"/>
      <c r="J55" s="18"/>
      <c r="K55" s="16"/>
      <c r="L55" s="14" t="str">
        <f aca="false">IF(H55="","",H55*I55*IF(J55="",1,J55)*IF(K55="",1,K55))</f>
        <v/>
      </c>
      <c r="M55" s="15" t="n">
        <v>0.905</v>
      </c>
      <c r="N55" s="14" t="str">
        <f aca="false">IF(L55="","",L55*M55)</f>
        <v/>
      </c>
      <c r="O55" s="14" t="str">
        <f aca="false">IF(L55="","",L55-N55)</f>
        <v/>
      </c>
    </row>
    <row r="56" customFormat="false" ht="15" hidden="false" customHeight="false" outlineLevel="0" collapsed="false">
      <c r="A56" s="16"/>
      <c r="B56" s="11" t="str">
        <f aca="false">IFERROR(INDEX('Budget Summary'!$B$7:$B$20,MATCH(A56,'Budget Summary'!$A$7:$A$20,0)),"")</f>
        <v/>
      </c>
      <c r="C56" s="11" t="str">
        <f aca="false">IFERROR(INDEX('Budget Summary'!$C$7:$C$20,MATCH(A56,'Budget Summary'!$A$7:$A$20,0)),"")</f>
        <v/>
      </c>
      <c r="D56" s="16"/>
      <c r="E56" s="16"/>
      <c r="F56" s="16"/>
      <c r="G56" s="16"/>
      <c r="H56" s="16"/>
      <c r="I56" s="17"/>
      <c r="J56" s="18"/>
      <c r="K56" s="16"/>
      <c r="L56" s="14" t="str">
        <f aca="false">IF(H56="","",H56*I56*IF(J56="",1,J56)*IF(K56="",1,K56))</f>
        <v/>
      </c>
      <c r="M56" s="15" t="n">
        <v>0.905</v>
      </c>
      <c r="N56" s="14" t="str">
        <f aca="false">IF(L56="","",L56*M56)</f>
        <v/>
      </c>
      <c r="O56" s="14" t="str">
        <f aca="false">IF(L56="","",L56-N56)</f>
        <v/>
      </c>
    </row>
    <row r="57" customFormat="false" ht="15" hidden="false" customHeight="false" outlineLevel="0" collapsed="false">
      <c r="A57" s="16"/>
      <c r="B57" s="11" t="str">
        <f aca="false">IFERROR(INDEX('Budget Summary'!$B$7:$B$20,MATCH(A57,'Budget Summary'!$A$7:$A$20,0)),"")</f>
        <v/>
      </c>
      <c r="C57" s="11" t="str">
        <f aca="false">IFERROR(INDEX('Budget Summary'!$C$7:$C$20,MATCH(A57,'Budget Summary'!$A$7:$A$20,0)),"")</f>
        <v/>
      </c>
      <c r="D57" s="16"/>
      <c r="E57" s="16"/>
      <c r="F57" s="16"/>
      <c r="G57" s="16"/>
      <c r="H57" s="16"/>
      <c r="I57" s="17"/>
      <c r="J57" s="18"/>
      <c r="K57" s="16"/>
      <c r="L57" s="14" t="str">
        <f aca="false">IF(H57="","",H57*I57*IF(J57="",1,J57)*IF(K57="",1,K57))</f>
        <v/>
      </c>
      <c r="M57" s="15" t="n">
        <v>0.905</v>
      </c>
      <c r="N57" s="14" t="str">
        <f aca="false">IF(L57="","",L57*M57)</f>
        <v/>
      </c>
      <c r="O57" s="14" t="str">
        <f aca="false">IF(L57="","",L57-N57)</f>
        <v/>
      </c>
    </row>
    <row r="58" customFormat="false" ht="15" hidden="false" customHeight="false" outlineLevel="0" collapsed="false">
      <c r="A58" s="16"/>
      <c r="B58" s="11" t="str">
        <f aca="false">IFERROR(INDEX('Budget Summary'!$B$7:$B$20,MATCH(A58,'Budget Summary'!$A$7:$A$20,0)),"")</f>
        <v/>
      </c>
      <c r="C58" s="11" t="str">
        <f aca="false">IFERROR(INDEX('Budget Summary'!$C$7:$C$20,MATCH(A58,'Budget Summary'!$A$7:$A$20,0)),"")</f>
        <v/>
      </c>
      <c r="D58" s="16"/>
      <c r="E58" s="16"/>
      <c r="F58" s="16"/>
      <c r="G58" s="16"/>
      <c r="H58" s="16"/>
      <c r="I58" s="17"/>
      <c r="J58" s="18"/>
      <c r="K58" s="16"/>
      <c r="L58" s="14" t="str">
        <f aca="false">IF(H58="","",H58*I58*IF(J58="",1,J58)*IF(K58="",1,K58))</f>
        <v/>
      </c>
      <c r="M58" s="15" t="n">
        <v>0.905</v>
      </c>
      <c r="N58" s="14" t="str">
        <f aca="false">IF(L58="","",L58*M58)</f>
        <v/>
      </c>
      <c r="O58" s="14" t="str">
        <f aca="false">IF(L58="","",L58-N58)</f>
        <v/>
      </c>
    </row>
    <row r="59" customFormat="false" ht="15" hidden="false" customHeight="false" outlineLevel="0" collapsed="false">
      <c r="A59" s="16"/>
      <c r="B59" s="11" t="str">
        <f aca="false">IFERROR(INDEX('Budget Summary'!$B$7:$B$20,MATCH(A59,'Budget Summary'!$A$7:$A$20,0)),"")</f>
        <v/>
      </c>
      <c r="C59" s="11" t="str">
        <f aca="false">IFERROR(INDEX('Budget Summary'!$C$7:$C$20,MATCH(A59,'Budget Summary'!$A$7:$A$20,0)),"")</f>
        <v/>
      </c>
      <c r="D59" s="16"/>
      <c r="E59" s="16"/>
      <c r="F59" s="16"/>
      <c r="G59" s="16"/>
      <c r="H59" s="16"/>
      <c r="I59" s="17"/>
      <c r="J59" s="18"/>
      <c r="K59" s="16"/>
      <c r="L59" s="14" t="str">
        <f aca="false">IF(H59="","",H59*I59*IF(J59="",1,J59)*IF(K59="",1,K59))</f>
        <v/>
      </c>
      <c r="M59" s="15" t="n">
        <v>0.905</v>
      </c>
      <c r="N59" s="14" t="str">
        <f aca="false">IF(L59="","",L59*M59)</f>
        <v/>
      </c>
      <c r="O59" s="14" t="str">
        <f aca="false">IF(L59="","",L59-N59)</f>
        <v/>
      </c>
    </row>
    <row r="60" customFormat="false" ht="15" hidden="false" customHeight="false" outlineLevel="0" collapsed="false">
      <c r="A60" s="16"/>
      <c r="B60" s="11" t="str">
        <f aca="false">IFERROR(INDEX('Budget Summary'!$B$7:$B$20,MATCH(A60,'Budget Summary'!$A$7:$A$20,0)),"")</f>
        <v/>
      </c>
      <c r="C60" s="11" t="str">
        <f aca="false">IFERROR(INDEX('Budget Summary'!$C$7:$C$20,MATCH(A60,'Budget Summary'!$A$7:$A$20,0)),"")</f>
        <v/>
      </c>
      <c r="D60" s="16"/>
      <c r="E60" s="16"/>
      <c r="F60" s="16"/>
      <c r="G60" s="16"/>
      <c r="H60" s="16"/>
      <c r="I60" s="17"/>
      <c r="J60" s="18"/>
      <c r="K60" s="16"/>
      <c r="L60" s="14" t="str">
        <f aca="false">IF(H60="","",H60*I60*IF(J60="",1,J60)*IF(K60="",1,K60))</f>
        <v/>
      </c>
      <c r="M60" s="15" t="n">
        <v>0.905</v>
      </c>
      <c r="N60" s="14" t="str">
        <f aca="false">IF(L60="","",L60*M60)</f>
        <v/>
      </c>
      <c r="O60" s="14" t="str">
        <f aca="false">IF(L60="","",L60-N60)</f>
        <v/>
      </c>
    </row>
    <row r="61" customFormat="false" ht="15" hidden="false" customHeight="false" outlineLevel="0" collapsed="false">
      <c r="A61" s="16"/>
      <c r="B61" s="11" t="str">
        <f aca="false">IFERROR(INDEX('Budget Summary'!$B$7:$B$20,MATCH(A61,'Budget Summary'!$A$7:$A$20,0)),"")</f>
        <v/>
      </c>
      <c r="C61" s="11" t="str">
        <f aca="false">IFERROR(INDEX('Budget Summary'!$C$7:$C$20,MATCH(A61,'Budget Summary'!$A$7:$A$20,0)),"")</f>
        <v/>
      </c>
      <c r="D61" s="16"/>
      <c r="E61" s="16"/>
      <c r="F61" s="16"/>
      <c r="G61" s="16"/>
      <c r="H61" s="16"/>
      <c r="I61" s="17"/>
      <c r="J61" s="18"/>
      <c r="K61" s="16"/>
      <c r="L61" s="14" t="str">
        <f aca="false">IF(H61="","",H61*I61*IF(J61="",1,J61)*IF(K61="",1,K61))</f>
        <v/>
      </c>
      <c r="M61" s="15" t="n">
        <v>0.905</v>
      </c>
      <c r="N61" s="14" t="str">
        <f aca="false">IF(L61="","",L61*M61)</f>
        <v/>
      </c>
      <c r="O61" s="14" t="str">
        <f aca="false">IF(L61="","",L61-N61)</f>
        <v/>
      </c>
    </row>
    <row r="62" customFormat="false" ht="15" hidden="false" customHeight="false" outlineLevel="0" collapsed="false">
      <c r="A62" s="16"/>
      <c r="B62" s="11" t="str">
        <f aca="false">IFERROR(INDEX('Budget Summary'!$B$7:$B$20,MATCH(A62,'Budget Summary'!$A$7:$A$20,0)),"")</f>
        <v/>
      </c>
      <c r="C62" s="11" t="str">
        <f aca="false">IFERROR(INDEX('Budget Summary'!$C$7:$C$20,MATCH(A62,'Budget Summary'!$A$7:$A$20,0)),"")</f>
        <v/>
      </c>
      <c r="D62" s="16"/>
      <c r="E62" s="16"/>
      <c r="F62" s="16"/>
      <c r="G62" s="16"/>
      <c r="H62" s="16"/>
      <c r="I62" s="17"/>
      <c r="J62" s="18"/>
      <c r="K62" s="16"/>
      <c r="L62" s="14" t="str">
        <f aca="false">IF(H62="","",H62*I62*IF(J62="",1,J62)*IF(K62="",1,K62))</f>
        <v/>
      </c>
      <c r="M62" s="15" t="n">
        <v>0.905</v>
      </c>
      <c r="N62" s="14" t="str">
        <f aca="false">IF(L62="","",L62*M62)</f>
        <v/>
      </c>
      <c r="O62" s="14" t="str">
        <f aca="false">IF(L62="","",L62-N62)</f>
        <v/>
      </c>
    </row>
    <row r="63" customFormat="false" ht="15" hidden="false" customHeight="false" outlineLevel="0" collapsed="false">
      <c r="A63" s="16"/>
      <c r="B63" s="11" t="str">
        <f aca="false">IFERROR(INDEX('Budget Summary'!$B$7:$B$20,MATCH(A63,'Budget Summary'!$A$7:$A$20,0)),"")</f>
        <v/>
      </c>
      <c r="C63" s="11" t="str">
        <f aca="false">IFERROR(INDEX('Budget Summary'!$C$7:$C$20,MATCH(A63,'Budget Summary'!$A$7:$A$20,0)),"")</f>
        <v/>
      </c>
      <c r="D63" s="16"/>
      <c r="E63" s="16"/>
      <c r="F63" s="16"/>
      <c r="G63" s="16"/>
      <c r="H63" s="16"/>
      <c r="I63" s="17"/>
      <c r="J63" s="18"/>
      <c r="K63" s="16"/>
      <c r="L63" s="14" t="str">
        <f aca="false">IF(H63="","",H63*I63*IF(J63="",1,J63)*IF(K63="",1,K63))</f>
        <v/>
      </c>
      <c r="M63" s="15" t="n">
        <v>0.905</v>
      </c>
      <c r="N63" s="14" t="str">
        <f aca="false">IF(L63="","",L63*M63)</f>
        <v/>
      </c>
      <c r="O63" s="14" t="str">
        <f aca="false">IF(L63="","",L63-N63)</f>
        <v/>
      </c>
    </row>
    <row r="64" customFormat="false" ht="15" hidden="false" customHeight="false" outlineLevel="0" collapsed="false">
      <c r="A64" s="16"/>
      <c r="B64" s="11" t="str">
        <f aca="false">IFERROR(INDEX('Budget Summary'!$B$7:$B$20,MATCH(A64,'Budget Summary'!$A$7:$A$20,0)),"")</f>
        <v/>
      </c>
      <c r="C64" s="11" t="str">
        <f aca="false">IFERROR(INDEX('Budget Summary'!$C$7:$C$20,MATCH(A64,'Budget Summary'!$A$7:$A$20,0)),"")</f>
        <v/>
      </c>
      <c r="D64" s="16"/>
      <c r="E64" s="16"/>
      <c r="F64" s="16"/>
      <c r="G64" s="16"/>
      <c r="H64" s="16"/>
      <c r="I64" s="17"/>
      <c r="J64" s="18"/>
      <c r="K64" s="16"/>
      <c r="L64" s="14" t="str">
        <f aca="false">IF(H64="","",H64*I64*IF(J64="",1,J64)*IF(K64="",1,K64))</f>
        <v/>
      </c>
      <c r="M64" s="15" t="n">
        <v>0.905</v>
      </c>
      <c r="N64" s="14" t="str">
        <f aca="false">IF(L64="","",L64*M64)</f>
        <v/>
      </c>
      <c r="O64" s="14" t="str">
        <f aca="false">IF(L64="","",L64-N64)</f>
        <v/>
      </c>
    </row>
    <row r="65" customFormat="false" ht="15" hidden="false" customHeight="false" outlineLevel="0" collapsed="false">
      <c r="A65" s="16"/>
      <c r="B65" s="11" t="str">
        <f aca="false">IFERROR(INDEX('Budget Summary'!$B$7:$B$20,MATCH(A65,'Budget Summary'!$A$7:$A$20,0)),"")</f>
        <v/>
      </c>
      <c r="C65" s="11" t="str">
        <f aca="false">IFERROR(INDEX('Budget Summary'!$C$7:$C$20,MATCH(A65,'Budget Summary'!$A$7:$A$20,0)),"")</f>
        <v/>
      </c>
      <c r="D65" s="16"/>
      <c r="E65" s="16"/>
      <c r="F65" s="16"/>
      <c r="G65" s="16"/>
      <c r="H65" s="16"/>
      <c r="I65" s="17"/>
      <c r="J65" s="18"/>
      <c r="K65" s="16"/>
      <c r="L65" s="14" t="str">
        <f aca="false">IF(H65="","",H65*I65*IF(J65="",1,J65)*IF(K65="",1,K65))</f>
        <v/>
      </c>
      <c r="M65" s="15" t="n">
        <v>0.905</v>
      </c>
      <c r="N65" s="14" t="str">
        <f aca="false">IF(L65="","",L65*M65)</f>
        <v/>
      </c>
      <c r="O65" s="14" t="str">
        <f aca="false">IF(L65="","",L65-N65)</f>
        <v/>
      </c>
    </row>
    <row r="66" customFormat="false" ht="15" hidden="false" customHeight="false" outlineLevel="0" collapsed="false">
      <c r="A66" s="16"/>
      <c r="B66" s="11" t="str">
        <f aca="false">IFERROR(INDEX('Budget Summary'!$B$7:$B$20,MATCH(A66,'Budget Summary'!$A$7:$A$20,0)),"")</f>
        <v/>
      </c>
      <c r="C66" s="11" t="str">
        <f aca="false">IFERROR(INDEX('Budget Summary'!$C$7:$C$20,MATCH(A66,'Budget Summary'!$A$7:$A$20,0)),"")</f>
        <v/>
      </c>
      <c r="D66" s="16"/>
      <c r="E66" s="16"/>
      <c r="F66" s="16"/>
      <c r="G66" s="16"/>
      <c r="H66" s="16"/>
      <c r="I66" s="17"/>
      <c r="J66" s="18"/>
      <c r="K66" s="16"/>
      <c r="L66" s="14" t="str">
        <f aca="false">IF(H66="","",H66*I66*IF(J66="",1,J66)*IF(K66="",1,K66))</f>
        <v/>
      </c>
      <c r="M66" s="15" t="n">
        <v>0.905</v>
      </c>
      <c r="N66" s="14" t="str">
        <f aca="false">IF(L66="","",L66*M66)</f>
        <v/>
      </c>
      <c r="O66" s="14" t="str">
        <f aca="false">IF(L66="","",L66-N66)</f>
        <v/>
      </c>
    </row>
    <row r="67" customFormat="false" ht="15" hidden="false" customHeight="false" outlineLevel="0" collapsed="false">
      <c r="A67" s="16"/>
      <c r="B67" s="11" t="str">
        <f aca="false">IFERROR(INDEX('Budget Summary'!$B$7:$B$20,MATCH(A67,'Budget Summary'!$A$7:$A$20,0)),"")</f>
        <v/>
      </c>
      <c r="C67" s="11" t="str">
        <f aca="false">IFERROR(INDEX('Budget Summary'!$C$7:$C$20,MATCH(A67,'Budget Summary'!$A$7:$A$20,0)),"")</f>
        <v/>
      </c>
      <c r="D67" s="16"/>
      <c r="E67" s="16"/>
      <c r="F67" s="16"/>
      <c r="G67" s="16"/>
      <c r="H67" s="16"/>
      <c r="I67" s="17"/>
      <c r="J67" s="18"/>
      <c r="K67" s="16"/>
      <c r="L67" s="14" t="str">
        <f aca="false">IF(H67="","",H67*I67*IF(J67="",1,J67)*IF(K67="",1,K67))</f>
        <v/>
      </c>
      <c r="M67" s="15" t="n">
        <v>0.905</v>
      </c>
      <c r="N67" s="14" t="str">
        <f aca="false">IF(L67="","",L67*M67)</f>
        <v/>
      </c>
      <c r="O67" s="14" t="str">
        <f aca="false">IF(L67="","",L67-N67)</f>
        <v/>
      </c>
    </row>
    <row r="68" customFormat="false" ht="15" hidden="false" customHeight="false" outlineLevel="0" collapsed="false">
      <c r="A68" s="16"/>
      <c r="B68" s="11" t="str">
        <f aca="false">IFERROR(INDEX('Budget Summary'!$B$7:$B$20,MATCH(A68,'Budget Summary'!$A$7:$A$20,0)),"")</f>
        <v/>
      </c>
      <c r="C68" s="11" t="str">
        <f aca="false">IFERROR(INDEX('Budget Summary'!$C$7:$C$20,MATCH(A68,'Budget Summary'!$A$7:$A$20,0)),"")</f>
        <v/>
      </c>
      <c r="D68" s="16"/>
      <c r="E68" s="16"/>
      <c r="F68" s="16"/>
      <c r="G68" s="16"/>
      <c r="H68" s="16"/>
      <c r="I68" s="17"/>
      <c r="J68" s="18"/>
      <c r="K68" s="16"/>
      <c r="L68" s="14" t="str">
        <f aca="false">IF(H68="","",H68*I68*IF(J68="",1,J68)*IF(K68="",1,K68))</f>
        <v/>
      </c>
      <c r="M68" s="15" t="n">
        <v>0.905</v>
      </c>
      <c r="N68" s="14" t="str">
        <f aca="false">IF(L68="","",L68*M68)</f>
        <v/>
      </c>
      <c r="O68" s="14" t="str">
        <f aca="false">IF(L68="","",L68-N68)</f>
        <v/>
      </c>
    </row>
    <row r="69" customFormat="false" ht="15" hidden="false" customHeight="false" outlineLevel="0" collapsed="false">
      <c r="A69" s="16"/>
      <c r="B69" s="11" t="str">
        <f aca="false">IFERROR(INDEX('Budget Summary'!$B$7:$B$20,MATCH(A69,'Budget Summary'!$A$7:$A$20,0)),"")</f>
        <v/>
      </c>
      <c r="C69" s="11" t="str">
        <f aca="false">IFERROR(INDEX('Budget Summary'!$C$7:$C$20,MATCH(A69,'Budget Summary'!$A$7:$A$20,0)),"")</f>
        <v/>
      </c>
      <c r="D69" s="16"/>
      <c r="E69" s="16"/>
      <c r="F69" s="16"/>
      <c r="G69" s="16"/>
      <c r="H69" s="16"/>
      <c r="I69" s="17"/>
      <c r="J69" s="18"/>
      <c r="K69" s="16"/>
      <c r="L69" s="14" t="str">
        <f aca="false">IF(H69="","",H69*I69*IF(J69="",1,J69)*IF(K69="",1,K69))</f>
        <v/>
      </c>
      <c r="M69" s="15" t="n">
        <v>0.905</v>
      </c>
      <c r="N69" s="14" t="str">
        <f aca="false">IF(L69="","",L69*M69)</f>
        <v/>
      </c>
      <c r="O69" s="14" t="str">
        <f aca="false">IF(L69="","",L69-N69)</f>
        <v/>
      </c>
    </row>
    <row r="70" customFormat="false" ht="15" hidden="false" customHeight="false" outlineLevel="0" collapsed="false">
      <c r="A70" s="16"/>
      <c r="B70" s="11" t="str">
        <f aca="false">IFERROR(INDEX('Budget Summary'!$B$7:$B$20,MATCH(A70,'Budget Summary'!$A$7:$A$20,0)),"")</f>
        <v/>
      </c>
      <c r="C70" s="11" t="str">
        <f aca="false">IFERROR(INDEX('Budget Summary'!$C$7:$C$20,MATCH(A70,'Budget Summary'!$A$7:$A$20,0)),"")</f>
        <v/>
      </c>
      <c r="D70" s="16"/>
      <c r="E70" s="16"/>
      <c r="F70" s="16"/>
      <c r="G70" s="16"/>
      <c r="H70" s="16"/>
      <c r="I70" s="17"/>
      <c r="J70" s="18"/>
      <c r="K70" s="16"/>
      <c r="L70" s="14" t="str">
        <f aca="false">IF(H70="","",H70*I70*IF(J70="",1,J70)*IF(K70="",1,K70))</f>
        <v/>
      </c>
      <c r="M70" s="15" t="n">
        <v>0.905</v>
      </c>
      <c r="N70" s="14" t="str">
        <f aca="false">IF(L70="","",L70*M70)</f>
        <v/>
      </c>
      <c r="O70" s="14" t="str">
        <f aca="false">IF(L70="","",L70-N70)</f>
        <v/>
      </c>
    </row>
    <row r="71" customFormat="false" ht="15" hidden="false" customHeight="false" outlineLevel="0" collapsed="false">
      <c r="A71" s="16"/>
      <c r="B71" s="11" t="str">
        <f aca="false">IFERROR(INDEX('Budget Summary'!$B$7:$B$20,MATCH(A71,'Budget Summary'!$A$7:$A$20,0)),"")</f>
        <v/>
      </c>
      <c r="C71" s="11" t="str">
        <f aca="false">IFERROR(INDEX('Budget Summary'!$C$7:$C$20,MATCH(A71,'Budget Summary'!$A$7:$A$20,0)),"")</f>
        <v/>
      </c>
      <c r="D71" s="16"/>
      <c r="E71" s="16"/>
      <c r="F71" s="16"/>
      <c r="G71" s="16"/>
      <c r="H71" s="16"/>
      <c r="I71" s="17"/>
      <c r="J71" s="18"/>
      <c r="K71" s="16"/>
      <c r="L71" s="14" t="str">
        <f aca="false">IF(H71="","",H71*I71*IF(J71="",1,J71)*IF(K71="",1,K71))</f>
        <v/>
      </c>
      <c r="M71" s="15" t="n">
        <v>0.905</v>
      </c>
      <c r="N71" s="14" t="str">
        <f aca="false">IF(L71="","",L71*M71)</f>
        <v/>
      </c>
      <c r="O71" s="14" t="str">
        <f aca="false">IF(L71="","",L71-N71)</f>
        <v/>
      </c>
    </row>
    <row r="72" customFormat="false" ht="15" hidden="false" customHeight="false" outlineLevel="0" collapsed="false">
      <c r="A72" s="16"/>
      <c r="B72" s="11" t="str">
        <f aca="false">IFERROR(INDEX('Budget Summary'!$B$7:$B$20,MATCH(A72,'Budget Summary'!$A$7:$A$20,0)),"")</f>
        <v/>
      </c>
      <c r="C72" s="11" t="str">
        <f aca="false">IFERROR(INDEX('Budget Summary'!$C$7:$C$20,MATCH(A72,'Budget Summary'!$A$7:$A$20,0)),"")</f>
        <v/>
      </c>
      <c r="D72" s="16"/>
      <c r="E72" s="16"/>
      <c r="F72" s="16"/>
      <c r="G72" s="16"/>
      <c r="H72" s="16"/>
      <c r="I72" s="17"/>
      <c r="J72" s="18"/>
      <c r="K72" s="16"/>
      <c r="L72" s="14" t="str">
        <f aca="false">IF(H72="","",H72*I72*IF(J72="",1,J72)*IF(K72="",1,K72))</f>
        <v/>
      </c>
      <c r="M72" s="15" t="n">
        <v>0.905</v>
      </c>
      <c r="N72" s="14" t="str">
        <f aca="false">IF(L72="","",L72*M72)</f>
        <v/>
      </c>
      <c r="O72" s="14" t="str">
        <f aca="false">IF(L72="","",L72-N72)</f>
        <v/>
      </c>
    </row>
    <row r="73" customFormat="false" ht="15" hidden="false" customHeight="false" outlineLevel="0" collapsed="false">
      <c r="A73" s="16"/>
      <c r="B73" s="11" t="str">
        <f aca="false">IFERROR(INDEX('Budget Summary'!$B$7:$B$20,MATCH(A73,'Budget Summary'!$A$7:$A$20,0)),"")</f>
        <v/>
      </c>
      <c r="C73" s="11" t="str">
        <f aca="false">IFERROR(INDEX('Budget Summary'!$C$7:$C$20,MATCH(A73,'Budget Summary'!$A$7:$A$20,0)),"")</f>
        <v/>
      </c>
      <c r="D73" s="16"/>
      <c r="E73" s="16"/>
      <c r="F73" s="16"/>
      <c r="G73" s="16"/>
      <c r="H73" s="16"/>
      <c r="I73" s="17"/>
      <c r="J73" s="18"/>
      <c r="K73" s="16"/>
      <c r="L73" s="14" t="str">
        <f aca="false">IF(H73="","",H73*I73*IF(J73="",1,J73)*IF(K73="",1,K73))</f>
        <v/>
      </c>
      <c r="M73" s="15" t="n">
        <v>0.905</v>
      </c>
      <c r="N73" s="14" t="str">
        <f aca="false">IF(L73="","",L73*M73)</f>
        <v/>
      </c>
      <c r="O73" s="14" t="str">
        <f aca="false">IF(L73="","",L73-N73)</f>
        <v/>
      </c>
    </row>
    <row r="74" customFormat="false" ht="15" hidden="false" customHeight="false" outlineLevel="0" collapsed="false">
      <c r="A74" s="16"/>
      <c r="B74" s="11" t="str">
        <f aca="false">IFERROR(INDEX('Budget Summary'!$B$7:$B$20,MATCH(A74,'Budget Summary'!$A$7:$A$20,0)),"")</f>
        <v/>
      </c>
      <c r="C74" s="11" t="str">
        <f aca="false">IFERROR(INDEX('Budget Summary'!$C$7:$C$20,MATCH(A74,'Budget Summary'!$A$7:$A$20,0)),"")</f>
        <v/>
      </c>
      <c r="D74" s="16"/>
      <c r="E74" s="16"/>
      <c r="F74" s="16"/>
      <c r="G74" s="16"/>
      <c r="H74" s="16"/>
      <c r="I74" s="17"/>
      <c r="J74" s="18"/>
      <c r="K74" s="16"/>
      <c r="L74" s="14" t="str">
        <f aca="false">IF(H74="","",H74*I74*IF(J74="",1,J74)*IF(K74="",1,K74))</f>
        <v/>
      </c>
      <c r="M74" s="15" t="n">
        <v>0.905</v>
      </c>
      <c r="N74" s="14" t="str">
        <f aca="false">IF(L74="","",L74*M74)</f>
        <v/>
      </c>
      <c r="O74" s="14" t="str">
        <f aca="false">IF(L74="","",L74-N74)</f>
        <v/>
      </c>
    </row>
    <row r="75" customFormat="false" ht="15" hidden="false" customHeight="false" outlineLevel="0" collapsed="false">
      <c r="A75" s="16"/>
      <c r="B75" s="11" t="str">
        <f aca="false">IFERROR(INDEX('Budget Summary'!$B$7:$B$20,MATCH(A75,'Budget Summary'!$A$7:$A$20,0)),"")</f>
        <v/>
      </c>
      <c r="C75" s="11" t="str">
        <f aca="false">IFERROR(INDEX('Budget Summary'!$C$7:$C$20,MATCH(A75,'Budget Summary'!$A$7:$A$20,0)),"")</f>
        <v/>
      </c>
      <c r="D75" s="16"/>
      <c r="E75" s="16"/>
      <c r="F75" s="16"/>
      <c r="G75" s="16"/>
      <c r="H75" s="16"/>
      <c r="I75" s="17"/>
      <c r="J75" s="18"/>
      <c r="K75" s="16"/>
      <c r="L75" s="14" t="str">
        <f aca="false">IF(H75="","",H75*I75*IF(J75="",1,J75)*IF(K75="",1,K75))</f>
        <v/>
      </c>
      <c r="M75" s="15" t="n">
        <v>0.905</v>
      </c>
      <c r="N75" s="14" t="str">
        <f aca="false">IF(L75="","",L75*M75)</f>
        <v/>
      </c>
      <c r="O75" s="14" t="str">
        <f aca="false">IF(L75="","",L75-N75)</f>
        <v/>
      </c>
    </row>
    <row r="76" customFormat="false" ht="15" hidden="false" customHeight="false" outlineLevel="0" collapsed="false">
      <c r="A76" s="16"/>
      <c r="B76" s="11" t="str">
        <f aca="false">IFERROR(INDEX('Budget Summary'!$B$7:$B$20,MATCH(A76,'Budget Summary'!$A$7:$A$20,0)),"")</f>
        <v/>
      </c>
      <c r="C76" s="11" t="str">
        <f aca="false">IFERROR(INDEX('Budget Summary'!$C$7:$C$20,MATCH(A76,'Budget Summary'!$A$7:$A$20,0)),"")</f>
        <v/>
      </c>
      <c r="D76" s="16"/>
      <c r="E76" s="16"/>
      <c r="F76" s="16"/>
      <c r="G76" s="16"/>
      <c r="H76" s="16"/>
      <c r="I76" s="17"/>
      <c r="J76" s="18"/>
      <c r="K76" s="16"/>
      <c r="L76" s="14" t="str">
        <f aca="false">IF(H76="","",H76*I76*IF(J76="",1,J76)*IF(K76="",1,K76))</f>
        <v/>
      </c>
      <c r="M76" s="15" t="n">
        <v>0.905</v>
      </c>
      <c r="N76" s="14" t="str">
        <f aca="false">IF(L76="","",L76*M76)</f>
        <v/>
      </c>
      <c r="O76" s="14" t="str">
        <f aca="false">IF(L76="","",L76-N76)</f>
        <v/>
      </c>
    </row>
    <row r="77" customFormat="false" ht="15" hidden="false" customHeight="false" outlineLevel="0" collapsed="false">
      <c r="A77" s="16"/>
      <c r="B77" s="11" t="str">
        <f aca="false">IFERROR(INDEX('Budget Summary'!$B$7:$B$20,MATCH(A77,'Budget Summary'!$A$7:$A$20,0)),"")</f>
        <v/>
      </c>
      <c r="C77" s="11" t="str">
        <f aca="false">IFERROR(INDEX('Budget Summary'!$C$7:$C$20,MATCH(A77,'Budget Summary'!$A$7:$A$20,0)),"")</f>
        <v/>
      </c>
      <c r="D77" s="16"/>
      <c r="E77" s="16"/>
      <c r="F77" s="16"/>
      <c r="G77" s="16"/>
      <c r="H77" s="16"/>
      <c r="I77" s="17"/>
      <c r="J77" s="18"/>
      <c r="K77" s="16"/>
      <c r="L77" s="14" t="str">
        <f aca="false">IF(H77="","",H77*I77*IF(J77="",1,J77)*IF(K77="",1,K77))</f>
        <v/>
      </c>
      <c r="M77" s="15" t="n">
        <v>0.905</v>
      </c>
      <c r="N77" s="14" t="str">
        <f aca="false">IF(L77="","",L77*M77)</f>
        <v/>
      </c>
      <c r="O77" s="14" t="str">
        <f aca="false">IF(L77="","",L77-N77)</f>
        <v/>
      </c>
    </row>
    <row r="78" customFormat="false" ht="15" hidden="false" customHeight="false" outlineLevel="0" collapsed="false">
      <c r="A78" s="16"/>
      <c r="B78" s="11" t="str">
        <f aca="false">IFERROR(INDEX('Budget Summary'!$B$7:$B$20,MATCH(A78,'Budget Summary'!$A$7:$A$20,0)),"")</f>
        <v/>
      </c>
      <c r="C78" s="11" t="str">
        <f aca="false">IFERROR(INDEX('Budget Summary'!$C$7:$C$20,MATCH(A78,'Budget Summary'!$A$7:$A$20,0)),"")</f>
        <v/>
      </c>
      <c r="D78" s="16"/>
      <c r="E78" s="16"/>
      <c r="F78" s="16"/>
      <c r="G78" s="16"/>
      <c r="H78" s="16"/>
      <c r="I78" s="17"/>
      <c r="J78" s="18"/>
      <c r="K78" s="16"/>
      <c r="L78" s="14" t="str">
        <f aca="false">IF(H78="","",H78*I78*IF(J78="",1,J78)*IF(K78="",1,K78))</f>
        <v/>
      </c>
      <c r="M78" s="15" t="n">
        <v>0.905</v>
      </c>
      <c r="N78" s="14" t="str">
        <f aca="false">IF(L78="","",L78*M78)</f>
        <v/>
      </c>
      <c r="O78" s="14" t="str">
        <f aca="false">IF(L78="","",L78-N78)</f>
        <v/>
      </c>
    </row>
    <row r="79" customFormat="false" ht="15" hidden="false" customHeight="false" outlineLevel="0" collapsed="false">
      <c r="A79" s="16"/>
      <c r="B79" s="11" t="str">
        <f aca="false">IFERROR(INDEX('Budget Summary'!$B$7:$B$20,MATCH(A79,'Budget Summary'!$A$7:$A$20,0)),"")</f>
        <v/>
      </c>
      <c r="C79" s="11" t="str">
        <f aca="false">IFERROR(INDEX('Budget Summary'!$C$7:$C$20,MATCH(A79,'Budget Summary'!$A$7:$A$20,0)),"")</f>
        <v/>
      </c>
      <c r="D79" s="16"/>
      <c r="E79" s="16"/>
      <c r="F79" s="16"/>
      <c r="G79" s="16"/>
      <c r="H79" s="16"/>
      <c r="I79" s="17"/>
      <c r="J79" s="18"/>
      <c r="K79" s="16"/>
      <c r="L79" s="14" t="str">
        <f aca="false">IF(H79="","",H79*I79*IF(J79="",1,J79)*IF(K79="",1,K79))</f>
        <v/>
      </c>
      <c r="M79" s="15" t="n">
        <v>0.905</v>
      </c>
      <c r="N79" s="14" t="str">
        <f aca="false">IF(L79="","",L79*M79)</f>
        <v/>
      </c>
      <c r="O79" s="14" t="str">
        <f aca="false">IF(L79="","",L79-N79)</f>
        <v/>
      </c>
    </row>
    <row r="80" customFormat="false" ht="15" hidden="false" customHeight="false" outlineLevel="0" collapsed="false">
      <c r="A80" s="16"/>
      <c r="B80" s="11" t="str">
        <f aca="false">IFERROR(INDEX('Budget Summary'!$B$7:$B$20,MATCH(A80,'Budget Summary'!$A$7:$A$20,0)),"")</f>
        <v/>
      </c>
      <c r="C80" s="11" t="str">
        <f aca="false">IFERROR(INDEX('Budget Summary'!$C$7:$C$20,MATCH(A80,'Budget Summary'!$A$7:$A$20,0)),"")</f>
        <v/>
      </c>
      <c r="D80" s="16"/>
      <c r="E80" s="16"/>
      <c r="F80" s="16"/>
      <c r="G80" s="16"/>
      <c r="H80" s="16"/>
      <c r="I80" s="17"/>
      <c r="J80" s="18"/>
      <c r="K80" s="16"/>
      <c r="L80" s="14" t="str">
        <f aca="false">IF(H80="","",H80*I80*IF(J80="",1,J80)*IF(K80="",1,K80))</f>
        <v/>
      </c>
      <c r="M80" s="15" t="n">
        <v>0.905</v>
      </c>
      <c r="N80" s="14" t="str">
        <f aca="false">IF(L80="","",L80*M80)</f>
        <v/>
      </c>
      <c r="O80" s="14" t="str">
        <f aca="false">IF(L80="","",L80-N80)</f>
        <v/>
      </c>
    </row>
    <row r="81" customFormat="false" ht="15" hidden="false" customHeight="false" outlineLevel="0" collapsed="false">
      <c r="K81" s="19" t="s">
        <v>37</v>
      </c>
      <c r="L81" s="20" t="n">
        <f aca="false">SUM(L6:L80)</f>
        <v>600</v>
      </c>
      <c r="N81" s="20" t="n">
        <f aca="false">SUM(N6:N80)</f>
        <v>543</v>
      </c>
      <c r="O81" s="20" t="n">
        <f aca="false">SUM(O6:O80)</f>
        <v>57</v>
      </c>
    </row>
  </sheetData>
  <mergeCells count="1">
    <mergeCell ref="A3:O3"/>
  </mergeCells>
  <dataValidations count="1">
    <dataValidation allowBlank="true" errorStyle="stop" operator="between" showDropDown="false" showErrorMessage="false" showInputMessage="false" sqref="A6:A80" type="list">
      <formula1>'Budget Summary'!$A$7:$A$20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62"/>
    <col collapsed="false" customWidth="true" hidden="false" outlineLevel="0" max="5" min="4" style="0" width="18"/>
    <col collapsed="false" customWidth="true" hidden="false" outlineLevel="0" max="8" min="6" style="0" width="16"/>
  </cols>
  <sheetData>
    <row r="1" customFormat="false" ht="17.35" hidden="false" customHeight="false" outlineLevel="0" collapsed="false">
      <c r="A1" s="6" t="s">
        <v>38</v>
      </c>
    </row>
    <row r="2" customFormat="false" ht="15" hidden="false" customHeight="false" outlineLevel="0" collapsed="false">
      <c r="A2" s="7" t="s">
        <v>39</v>
      </c>
    </row>
    <row r="3" customFormat="false" ht="30" hidden="false" customHeight="true" outlineLevel="0" collapsed="false">
      <c r="A3" s="8" t="s">
        <v>2</v>
      </c>
      <c r="B3" s="8"/>
      <c r="C3" s="8"/>
      <c r="D3" s="8"/>
      <c r="E3" s="8"/>
      <c r="F3" s="8"/>
      <c r="G3" s="8"/>
      <c r="H3" s="8"/>
    </row>
    <row r="6" customFormat="false" ht="35.05" hidden="false" customHeight="false" outlineLevel="0" collapsed="false">
      <c r="A6" s="9" t="s">
        <v>17</v>
      </c>
      <c r="B6" s="9" t="s">
        <v>18</v>
      </c>
      <c r="C6" s="9" t="s">
        <v>40</v>
      </c>
      <c r="D6" s="9" t="s">
        <v>41</v>
      </c>
      <c r="E6" s="9" t="s">
        <v>42</v>
      </c>
      <c r="F6" s="9" t="s">
        <v>43</v>
      </c>
      <c r="G6" s="9" t="s">
        <v>44</v>
      </c>
      <c r="H6" s="9" t="s">
        <v>45</v>
      </c>
    </row>
    <row r="7" customFormat="false" ht="15" hidden="false" customHeight="false" outlineLevel="0" collapsed="false">
      <c r="A7" s="21" t="s">
        <v>46</v>
      </c>
      <c r="B7" s="21" t="s">
        <v>46</v>
      </c>
      <c r="C7" s="21" t="s">
        <v>47</v>
      </c>
      <c r="D7" s="21" t="s">
        <v>48</v>
      </c>
      <c r="E7" s="22" t="n">
        <f aca="false">SUMIFS('Budget Detail'!$N$6:$N$80,'Budget Detail'!$A$6:$A$80,A7)</f>
        <v>0</v>
      </c>
      <c r="F7" s="22" t="n">
        <f aca="false">SUMIFS('Budget Detail'!$O$6:$O$80,'Budget Detail'!$A$6:$A$80,A7)</f>
        <v>0</v>
      </c>
      <c r="G7" s="17"/>
      <c r="H7" s="23" t="n">
        <f aca="false">SUM(E7:G7)</f>
        <v>0</v>
      </c>
    </row>
    <row r="8" customFormat="false" ht="15" hidden="false" customHeight="false" outlineLevel="0" collapsed="false">
      <c r="A8" s="21" t="s">
        <v>49</v>
      </c>
      <c r="B8" s="21" t="s">
        <v>46</v>
      </c>
      <c r="C8" s="21" t="s">
        <v>50</v>
      </c>
      <c r="D8" s="21" t="s">
        <v>48</v>
      </c>
      <c r="E8" s="22" t="n">
        <f aca="false">SUMIFS('Budget Detail'!$N$6:$N$80,'Budget Detail'!$A$6:$A$80,A8)</f>
        <v>0</v>
      </c>
      <c r="F8" s="22" t="n">
        <f aca="false">SUMIFS('Budget Detail'!$O$6:$O$80,'Budget Detail'!$A$6:$A$80,A8)</f>
        <v>0</v>
      </c>
      <c r="G8" s="17"/>
      <c r="H8" s="23" t="n">
        <f aca="false">SUM(E8:G8)</f>
        <v>0</v>
      </c>
    </row>
    <row r="9" customFormat="false" ht="15" hidden="false" customHeight="false" outlineLevel="0" collapsed="false">
      <c r="A9" s="21" t="s">
        <v>51</v>
      </c>
      <c r="B9" s="21" t="s">
        <v>51</v>
      </c>
      <c r="C9" s="21" t="s">
        <v>52</v>
      </c>
      <c r="D9" s="21" t="s">
        <v>48</v>
      </c>
      <c r="E9" s="22" t="n">
        <f aca="false">SUMIFS('Budget Detail'!$N$6:$N$80,'Budget Detail'!$A$6:$A$80,A9)</f>
        <v>0</v>
      </c>
      <c r="F9" s="22" t="n">
        <f aca="false">SUMIFS('Budget Detail'!$O$6:$O$80,'Budget Detail'!$A$6:$A$80,A9)</f>
        <v>0</v>
      </c>
      <c r="G9" s="17"/>
      <c r="H9" s="23" t="n">
        <f aca="false">SUM(E9:G9)</f>
        <v>0</v>
      </c>
    </row>
    <row r="10" customFormat="false" ht="15" hidden="false" customHeight="false" outlineLevel="0" collapsed="false">
      <c r="A10" s="21" t="s">
        <v>53</v>
      </c>
      <c r="B10" s="21" t="s">
        <v>54</v>
      </c>
      <c r="C10" s="21" t="s">
        <v>55</v>
      </c>
      <c r="D10" s="21" t="s">
        <v>48</v>
      </c>
      <c r="E10" s="22" t="n">
        <f aca="false">SUMIFS('Budget Detail'!$N$6:$N$80,'Budget Detail'!$A$6:$A$80,A10)</f>
        <v>0</v>
      </c>
      <c r="F10" s="22" t="n">
        <f aca="false">SUMIFS('Budget Detail'!$O$6:$O$80,'Budget Detail'!$A$6:$A$80,A10)</f>
        <v>0</v>
      </c>
      <c r="G10" s="17"/>
      <c r="H10" s="23" t="n">
        <f aca="false">SUM(E10:G10)</f>
        <v>0</v>
      </c>
    </row>
    <row r="11" customFormat="false" ht="15" hidden="false" customHeight="false" outlineLevel="0" collapsed="false">
      <c r="A11" s="21" t="s">
        <v>56</v>
      </c>
      <c r="B11" s="21" t="s">
        <v>54</v>
      </c>
      <c r="C11" s="21" t="s">
        <v>57</v>
      </c>
      <c r="D11" s="21" t="s">
        <v>48</v>
      </c>
      <c r="E11" s="22" t="n">
        <f aca="false">SUMIFS('Budget Detail'!$N$6:$N$80,'Budget Detail'!$A$6:$A$80,A11)</f>
        <v>0</v>
      </c>
      <c r="F11" s="22" t="n">
        <f aca="false">SUMIFS('Budget Detail'!$O$6:$O$80,'Budget Detail'!$A$6:$A$80,A11)</f>
        <v>0</v>
      </c>
      <c r="G11" s="17"/>
      <c r="H11" s="23" t="n">
        <f aca="false">SUM(E11:G11)</f>
        <v>0</v>
      </c>
    </row>
    <row r="12" customFormat="false" ht="15" hidden="false" customHeight="false" outlineLevel="0" collapsed="false">
      <c r="A12" s="21" t="s">
        <v>32</v>
      </c>
      <c r="B12" s="21" t="s">
        <v>58</v>
      </c>
      <c r="C12" s="21" t="s">
        <v>59</v>
      </c>
      <c r="D12" s="21" t="s">
        <v>60</v>
      </c>
      <c r="E12" s="22" t="n">
        <f aca="false">SUMIFS('Budget Detail'!$N$6:$N$80,'Budget Detail'!$A$6:$A$80,A12)</f>
        <v>543</v>
      </c>
      <c r="F12" s="22" t="n">
        <f aca="false">SUMIFS('Budget Detail'!$O$6:$O$80,'Budget Detail'!$A$6:$A$80,A12)</f>
        <v>57</v>
      </c>
      <c r="G12" s="17"/>
      <c r="H12" s="23" t="n">
        <f aca="false">SUM(E12:G12)</f>
        <v>600</v>
      </c>
    </row>
    <row r="13" customFormat="false" ht="15" hidden="false" customHeight="false" outlineLevel="0" collapsed="false">
      <c r="A13" s="21" t="s">
        <v>61</v>
      </c>
      <c r="B13" s="21" t="s">
        <v>62</v>
      </c>
      <c r="C13" s="21" t="s">
        <v>63</v>
      </c>
      <c r="D13" s="21" t="s">
        <v>60</v>
      </c>
      <c r="E13" s="22" t="n">
        <f aca="false">SUMIFS('Budget Detail'!$N$6:$N$80,'Budget Detail'!$A$6:$A$80,A13)</f>
        <v>0</v>
      </c>
      <c r="F13" s="22" t="n">
        <f aca="false">SUMIFS('Budget Detail'!$O$6:$O$80,'Budget Detail'!$A$6:$A$80,A13)</f>
        <v>0</v>
      </c>
      <c r="G13" s="17"/>
      <c r="H13" s="23" t="n">
        <f aca="false">SUM(E13:G13)</f>
        <v>0</v>
      </c>
    </row>
    <row r="14" customFormat="false" ht="15" hidden="false" customHeight="false" outlineLevel="0" collapsed="false">
      <c r="A14" s="21" t="s">
        <v>64</v>
      </c>
      <c r="B14" s="21" t="s">
        <v>65</v>
      </c>
      <c r="C14" s="21" t="s">
        <v>66</v>
      </c>
      <c r="D14" s="21" t="s">
        <v>60</v>
      </c>
      <c r="E14" s="22" t="n">
        <f aca="false">SUMIFS('Budget Detail'!$N$6:$N$80,'Budget Detail'!$A$6:$A$80,A14)</f>
        <v>0</v>
      </c>
      <c r="F14" s="22" t="n">
        <f aca="false">SUMIFS('Budget Detail'!$O$6:$O$80,'Budget Detail'!$A$6:$A$80,A14)</f>
        <v>0</v>
      </c>
      <c r="G14" s="17"/>
      <c r="H14" s="23" t="n">
        <f aca="false">SUM(E14:G14)</f>
        <v>0</v>
      </c>
    </row>
    <row r="15" customFormat="false" ht="15" hidden="false" customHeight="false" outlineLevel="0" collapsed="false">
      <c r="A15" s="21" t="s">
        <v>67</v>
      </c>
      <c r="B15" s="21" t="s">
        <v>68</v>
      </c>
      <c r="C15" s="21" t="s">
        <v>69</v>
      </c>
      <c r="D15" s="21" t="s">
        <v>60</v>
      </c>
      <c r="E15" s="22" t="n">
        <f aca="false">SUMIFS('Budget Detail'!$N$6:$N$80,'Budget Detail'!$A$6:$A$80,A15)</f>
        <v>0</v>
      </c>
      <c r="F15" s="22" t="n">
        <f aca="false">SUMIFS('Budget Detail'!$O$6:$O$80,'Budget Detail'!$A$6:$A$80,A15)</f>
        <v>0</v>
      </c>
      <c r="G15" s="17"/>
      <c r="H15" s="23" t="n">
        <f aca="false">SUM(E15:G15)</f>
        <v>0</v>
      </c>
    </row>
    <row r="16" customFormat="false" ht="15" hidden="false" customHeight="false" outlineLevel="0" collapsed="false">
      <c r="A16" s="21" t="s">
        <v>70</v>
      </c>
      <c r="B16" s="21" t="s">
        <v>71</v>
      </c>
      <c r="C16" s="21" t="s">
        <v>72</v>
      </c>
      <c r="D16" s="21" t="s">
        <v>60</v>
      </c>
      <c r="E16" s="22" t="n">
        <f aca="false">SUMIFS('Budget Detail'!$N$6:$N$80,'Budget Detail'!$A$6:$A$80,A16)</f>
        <v>0</v>
      </c>
      <c r="F16" s="22" t="n">
        <f aca="false">SUMIFS('Budget Detail'!$O$6:$O$80,'Budget Detail'!$A$6:$A$80,A16)</f>
        <v>0</v>
      </c>
      <c r="G16" s="17"/>
      <c r="H16" s="23" t="n">
        <f aca="false">SUM(E16:G16)</f>
        <v>0</v>
      </c>
    </row>
    <row r="17" customFormat="false" ht="15" hidden="false" customHeight="false" outlineLevel="0" collapsed="false">
      <c r="A17" s="21" t="s">
        <v>73</v>
      </c>
      <c r="B17" s="21" t="s">
        <v>74</v>
      </c>
      <c r="C17" s="21" t="s">
        <v>75</v>
      </c>
      <c r="D17" s="21" t="s">
        <v>60</v>
      </c>
      <c r="E17" s="22" t="n">
        <f aca="false">SUMIFS('Budget Detail'!$N$6:$N$80,'Budget Detail'!$A$6:$A$80,A17)</f>
        <v>0</v>
      </c>
      <c r="F17" s="22" t="n">
        <f aca="false">SUMIFS('Budget Detail'!$O$6:$O$80,'Budget Detail'!$A$6:$A$80,A17)</f>
        <v>0</v>
      </c>
      <c r="G17" s="17"/>
      <c r="H17" s="23" t="n">
        <f aca="false">SUM(E17:G17)</f>
        <v>0</v>
      </c>
    </row>
    <row r="18" customFormat="false" ht="15" hidden="false" customHeight="false" outlineLevel="0" collapsed="false">
      <c r="A18" s="21" t="s">
        <v>76</v>
      </c>
      <c r="B18" s="21" t="s">
        <v>77</v>
      </c>
      <c r="C18" s="21" t="s">
        <v>78</v>
      </c>
      <c r="D18" s="21" t="s">
        <v>60</v>
      </c>
      <c r="E18" s="22" t="n">
        <f aca="false">SUMIFS('Budget Detail'!$N$6:$N$80,'Budget Detail'!$A$6:$A$80,A18)</f>
        <v>0</v>
      </c>
      <c r="F18" s="22" t="n">
        <f aca="false">SUMIFS('Budget Detail'!$O$6:$O$80,'Budget Detail'!$A$6:$A$80,A18)</f>
        <v>0</v>
      </c>
      <c r="G18" s="17"/>
      <c r="H18" s="23" t="n">
        <f aca="false">SUM(E18:G18)</f>
        <v>0</v>
      </c>
    </row>
    <row r="19" customFormat="false" ht="15" hidden="false" customHeight="false" outlineLevel="0" collapsed="false">
      <c r="A19" s="21" t="s">
        <v>79</v>
      </c>
      <c r="B19" s="21" t="s">
        <v>80</v>
      </c>
      <c r="C19" s="21" t="s">
        <v>81</v>
      </c>
      <c r="D19" s="21" t="s">
        <v>60</v>
      </c>
      <c r="E19" s="22" t="n">
        <f aca="false">SUMIFS('Budget Detail'!$N$6:$N$80,'Budget Detail'!$A$6:$A$80,A19)</f>
        <v>0</v>
      </c>
      <c r="F19" s="22" t="n">
        <f aca="false">SUMIFS('Budget Detail'!$O$6:$O$80,'Budget Detail'!$A$6:$A$80,A19)</f>
        <v>0</v>
      </c>
      <c r="G19" s="17"/>
      <c r="H19" s="23" t="n">
        <f aca="false">SUM(E19:G19)</f>
        <v>0</v>
      </c>
    </row>
    <row r="20" customFormat="false" ht="15" hidden="false" customHeight="false" outlineLevel="0" collapsed="false">
      <c r="A20" s="21" t="s">
        <v>82</v>
      </c>
      <c r="B20" s="21" t="s">
        <v>80</v>
      </c>
      <c r="C20" s="21" t="s">
        <v>83</v>
      </c>
      <c r="D20" s="21" t="s">
        <v>60</v>
      </c>
      <c r="E20" s="22" t="n">
        <f aca="false">SUMIFS('Budget Detail'!$N$6:$N$80,'Budget Detail'!$A$6:$A$80,A20)</f>
        <v>0</v>
      </c>
      <c r="F20" s="22" t="n">
        <f aca="false">SUMIFS('Budget Detail'!$O$6:$O$80,'Budget Detail'!$A$6:$A$80,A20)</f>
        <v>0</v>
      </c>
      <c r="G20" s="17"/>
      <c r="H20" s="23" t="n">
        <f aca="false">SUM(E20:G20)</f>
        <v>0</v>
      </c>
    </row>
    <row r="21" customFormat="false" ht="15" hidden="false" customHeight="false" outlineLevel="0" collapsed="false">
      <c r="A21" s="24"/>
      <c r="B21" s="24"/>
      <c r="C21" s="25" t="s">
        <v>84</v>
      </c>
      <c r="D21" s="24"/>
      <c r="E21" s="20" t="n">
        <f aca="false">SUMIFS(E7:E20,$D$7:$D$20,"Remuneration/Fees")</f>
        <v>0</v>
      </c>
      <c r="F21" s="20" t="n">
        <f aca="false">SUMIFS(F7:F20,$D$7:$D$20,"Remuneration/Fees")</f>
        <v>0</v>
      </c>
      <c r="G21" s="20" t="n">
        <f aca="false">SUMIFS(G7:G20,$D$7:$D$20,"Remuneration/Fees")</f>
        <v>0</v>
      </c>
      <c r="H21" s="20" t="n">
        <f aca="false">SUMIFS(H7:H20,$D$7:$D$20,"Remuneration/Fees")</f>
        <v>0</v>
      </c>
    </row>
    <row r="22" customFormat="false" ht="15" hidden="false" customHeight="false" outlineLevel="0" collapsed="false">
      <c r="A22" s="24"/>
      <c r="B22" s="24"/>
      <c r="C22" s="25" t="s">
        <v>85</v>
      </c>
      <c r="D22" s="24"/>
      <c r="E22" s="20" t="n">
        <f aca="false">SUMIFS(E7:E20,$D$7:$D$20,"Reimbursable")</f>
        <v>543</v>
      </c>
      <c r="F22" s="20" t="n">
        <f aca="false">SUMIFS(F7:F20,$D$7:$D$20,"Reimbursable")</f>
        <v>57</v>
      </c>
      <c r="G22" s="20" t="n">
        <f aca="false">SUMIFS(G7:G20,$D$7:$D$20,"Reimbursable")</f>
        <v>0</v>
      </c>
      <c r="H22" s="20" t="n">
        <f aca="false">SUMIFS(H7:H20,$D$7:$D$20,"Reimbursable")</f>
        <v>600</v>
      </c>
    </row>
    <row r="23" customFormat="false" ht="15" hidden="false" customHeight="false" outlineLevel="0" collapsed="false">
      <c r="A23" s="24"/>
      <c r="B23" s="24"/>
      <c r="C23" s="25" t="s">
        <v>86</v>
      </c>
      <c r="D23" s="24"/>
      <c r="E23" s="20" t="n">
        <f aca="false">E21+E22</f>
        <v>543</v>
      </c>
      <c r="F23" s="20" t="n">
        <f aca="false">F21+F22</f>
        <v>57</v>
      </c>
      <c r="G23" s="20" t="n">
        <f aca="false">G21+G22</f>
        <v>0</v>
      </c>
      <c r="H23" s="20" t="n">
        <f aca="false">H21+H22</f>
        <v>600</v>
      </c>
    </row>
    <row r="24" customFormat="false" ht="15" hidden="false" customHeight="false" outlineLevel="0" collapsed="false">
      <c r="A24" s="26" t="s">
        <v>87</v>
      </c>
      <c r="B24" s="26" t="s">
        <v>88</v>
      </c>
      <c r="C24" s="21" t="s">
        <v>89</v>
      </c>
      <c r="D24" s="26"/>
      <c r="E24" s="23" t="n">
        <f aca="false">E23*$E$34</f>
        <v>65.16</v>
      </c>
      <c r="F24" s="26"/>
      <c r="G24" s="26"/>
      <c r="H24" s="23" t="n">
        <f aca="false">E24</f>
        <v>65.16</v>
      </c>
    </row>
    <row r="25" customFormat="false" ht="15" hidden="false" customHeight="false" outlineLevel="0" collapsed="false">
      <c r="A25" s="24"/>
      <c r="B25" s="24"/>
      <c r="C25" s="25" t="s">
        <v>90</v>
      </c>
      <c r="D25" s="24"/>
      <c r="E25" s="20" t="n">
        <f aca="false">E23+E24</f>
        <v>608.16</v>
      </c>
      <c r="F25" s="20" t="n">
        <f aca="false">F23</f>
        <v>57</v>
      </c>
      <c r="G25" s="20" t="n">
        <f aca="false">G23</f>
        <v>0</v>
      </c>
      <c r="H25" s="20" t="n">
        <f aca="false">H23+H24</f>
        <v>665.16</v>
      </c>
    </row>
    <row r="27" customFormat="false" ht="15" hidden="false" customHeight="false" outlineLevel="0" collapsed="false">
      <c r="C27" s="19" t="s">
        <v>91</v>
      </c>
    </row>
    <row r="28" customFormat="false" ht="15" hidden="false" customHeight="false" outlineLevel="0" collapsed="false">
      <c r="C28" s="27" t="s">
        <v>92</v>
      </c>
      <c r="E28" s="15" t="n">
        <v>0.905</v>
      </c>
      <c r="F28" s="28" t="s">
        <v>93</v>
      </c>
    </row>
    <row r="29" customFormat="false" ht="15" hidden="false" customHeight="false" outlineLevel="0" collapsed="false">
      <c r="C29" s="27" t="s">
        <v>94</v>
      </c>
      <c r="E29" s="15" t="n">
        <v>0.095</v>
      </c>
      <c r="F29" s="28" t="s">
        <v>95</v>
      </c>
    </row>
    <row r="30" customFormat="false" ht="15" hidden="false" customHeight="false" outlineLevel="0" collapsed="false">
      <c r="C30" s="27" t="s">
        <v>96</v>
      </c>
      <c r="E30" s="15" t="n">
        <v>0.1</v>
      </c>
      <c r="F30" s="28" t="s">
        <v>97</v>
      </c>
    </row>
    <row r="31" customFormat="false" ht="15" hidden="false" customHeight="false" outlineLevel="0" collapsed="false">
      <c r="C31" s="27" t="s">
        <v>98</v>
      </c>
      <c r="E31" s="15" t="n">
        <v>0.2</v>
      </c>
      <c r="F31" s="28" t="s">
        <v>99</v>
      </c>
    </row>
    <row r="32" customFormat="false" ht="15" hidden="false" customHeight="false" outlineLevel="0" collapsed="false">
      <c r="C32" s="27" t="s">
        <v>100</v>
      </c>
      <c r="E32" s="15" t="n">
        <v>0.2</v>
      </c>
      <c r="F32" s="28" t="s">
        <v>101</v>
      </c>
    </row>
    <row r="33" customFormat="false" ht="15" hidden="false" customHeight="false" outlineLevel="0" collapsed="false">
      <c r="C33" s="27" t="s">
        <v>102</v>
      </c>
      <c r="E33" s="15" t="n">
        <v>0.2</v>
      </c>
      <c r="F33" s="28" t="s">
        <v>103</v>
      </c>
    </row>
    <row r="34" customFormat="false" ht="15" hidden="false" customHeight="false" outlineLevel="0" collapsed="false">
      <c r="C34" s="27" t="s">
        <v>104</v>
      </c>
      <c r="E34" s="15" t="n">
        <v>0.12</v>
      </c>
      <c r="F34" s="28" t="s">
        <v>105</v>
      </c>
    </row>
    <row r="37" customFormat="false" ht="15" hidden="false" customHeight="false" outlineLevel="0" collapsed="false">
      <c r="C37" s="19" t="s">
        <v>106</v>
      </c>
    </row>
    <row r="38" customFormat="false" ht="15" hidden="false" customHeight="false" outlineLevel="0" collapsed="false">
      <c r="A38" s="9"/>
      <c r="B38" s="9"/>
      <c r="C38" s="9" t="s">
        <v>107</v>
      </c>
      <c r="D38" s="9"/>
      <c r="E38" s="9" t="s">
        <v>108</v>
      </c>
      <c r="F38" s="9" t="s">
        <v>109</v>
      </c>
      <c r="G38" s="9"/>
      <c r="H38" s="9" t="s">
        <v>110</v>
      </c>
    </row>
    <row r="39" customFormat="false" ht="15" hidden="false" customHeight="false" outlineLevel="0" collapsed="false">
      <c r="A39" s="26"/>
      <c r="B39" s="26"/>
      <c r="C39" s="21" t="s">
        <v>111</v>
      </c>
      <c r="D39" s="26"/>
      <c r="E39" s="29" t="n">
        <f aca="false">IFERROR(E23/H23,"")</f>
        <v>0.905</v>
      </c>
      <c r="F39" s="29" t="n">
        <f aca="false">E28</f>
        <v>0.905</v>
      </c>
      <c r="G39" s="26"/>
      <c r="H39" s="30" t="str">
        <f aca="false">IF(E39="","",IF(E39&lt;=F39,"OK","CHECK"))</f>
        <v>OK</v>
      </c>
    </row>
    <row r="40" customFormat="false" ht="15" hidden="false" customHeight="false" outlineLevel="0" collapsed="false">
      <c r="A40" s="26"/>
      <c r="B40" s="26"/>
      <c r="C40" s="21" t="s">
        <v>112</v>
      </c>
      <c r="D40" s="26"/>
      <c r="E40" s="29" t="n">
        <f aca="false">IFERROR((F23+G23)/H23,"")</f>
        <v>0.095</v>
      </c>
      <c r="F40" s="29" t="n">
        <f aca="false">E29</f>
        <v>0.095</v>
      </c>
      <c r="G40" s="26"/>
      <c r="H40" s="30" t="str">
        <f aca="false">IF(E40="","",IF(E40&gt;=F40,"OK","CHECK"))</f>
        <v>OK</v>
      </c>
    </row>
    <row r="41" customFormat="false" ht="15" hidden="false" customHeight="false" outlineLevel="0" collapsed="false">
      <c r="A41" s="26"/>
      <c r="B41" s="26"/>
      <c r="C41" s="21" t="s">
        <v>113</v>
      </c>
      <c r="D41" s="26"/>
      <c r="E41" s="29" t="n">
        <f aca="false">IFERROR((F23+G23)/H23,"")</f>
        <v>0.095</v>
      </c>
      <c r="F41" s="29" t="n">
        <f aca="false">E30</f>
        <v>0.1</v>
      </c>
      <c r="G41" s="26"/>
      <c r="H41" s="30" t="str">
        <f aca="false">IF(E41="","",IF(E41&gt;=F41,"OK","CHECK"))</f>
        <v>CHECK</v>
      </c>
    </row>
    <row r="42" customFormat="false" ht="15" hidden="false" customHeight="false" outlineLevel="0" collapsed="false">
      <c r="A42" s="26"/>
      <c r="B42" s="26"/>
      <c r="C42" s="21" t="s">
        <v>114</v>
      </c>
      <c r="D42" s="26"/>
      <c r="E42" s="29" t="n">
        <f aca="false">IFERROR((E10+E11)/E25,"")</f>
        <v>0</v>
      </c>
      <c r="F42" s="29" t="n">
        <f aca="false">E32</f>
        <v>0.2</v>
      </c>
      <c r="G42" s="26"/>
      <c r="H42" s="30" t="str">
        <f aca="false">IF(E42="","",IF(E42&lt;=F42,"OK","CHECK"))</f>
        <v>OK</v>
      </c>
    </row>
    <row r="43" customFormat="false" ht="15" hidden="false" customHeight="false" outlineLevel="0" collapsed="false">
      <c r="A43" s="26"/>
      <c r="B43" s="26"/>
      <c r="C43" s="21" t="s">
        <v>115</v>
      </c>
      <c r="D43" s="26"/>
      <c r="E43" s="29" t="n">
        <f aca="false">IFERROR((E19+E20)/E25,"")</f>
        <v>0</v>
      </c>
      <c r="F43" s="29" t="n">
        <f aca="false">E33</f>
        <v>0.2</v>
      </c>
      <c r="G43" s="26"/>
      <c r="H43" s="30" t="str">
        <f aca="false">IF(E43="","",IF(E43&lt;=F43,"OK","CHECK"))</f>
        <v>OK</v>
      </c>
    </row>
  </sheetData>
  <mergeCells count="1">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6" min="3" style="0" width="14"/>
    <col collapsed="false" customWidth="true" hidden="false" outlineLevel="0" max="7" min="7" style="0" width="16"/>
    <col collapsed="false" customWidth="true" hidden="false" outlineLevel="0" max="9" min="8" style="0" width="14"/>
  </cols>
  <sheetData>
    <row r="1" customFormat="false" ht="17.35" hidden="false" customHeight="false" outlineLevel="0" collapsed="false">
      <c r="A1" s="6" t="s">
        <v>116</v>
      </c>
    </row>
    <row r="2" customFormat="false" ht="15" hidden="false" customHeight="false" outlineLevel="0" collapsed="false">
      <c r="A2" s="7" t="s">
        <v>117</v>
      </c>
    </row>
    <row r="3" customFormat="false" ht="30" hidden="false" customHeight="true" outlineLevel="0" collapsed="false">
      <c r="A3" s="8" t="s">
        <v>2</v>
      </c>
      <c r="B3" s="8"/>
      <c r="C3" s="8"/>
      <c r="D3" s="8"/>
      <c r="E3" s="8"/>
      <c r="F3" s="8"/>
      <c r="G3" s="8"/>
      <c r="H3" s="8"/>
      <c r="I3" s="8"/>
    </row>
    <row r="5" customFormat="false" ht="23.85" hidden="false" customHeight="false" outlineLevel="0" collapsed="false">
      <c r="A5" s="9" t="s">
        <v>17</v>
      </c>
      <c r="B5" s="9" t="s">
        <v>19</v>
      </c>
      <c r="C5" s="9" t="s">
        <v>118</v>
      </c>
      <c r="D5" s="9" t="s">
        <v>119</v>
      </c>
      <c r="E5" s="9" t="s">
        <v>120</v>
      </c>
      <c r="F5" s="9" t="s">
        <v>121</v>
      </c>
      <c r="G5" s="9" t="s">
        <v>122</v>
      </c>
      <c r="H5" s="9" t="s">
        <v>45</v>
      </c>
      <c r="I5" s="9" t="s">
        <v>123</v>
      </c>
    </row>
    <row r="6" customFormat="false" ht="15" hidden="false" customHeight="false" outlineLevel="0" collapsed="false">
      <c r="A6" s="21" t="s">
        <v>46</v>
      </c>
      <c r="B6" s="21" t="s">
        <v>47</v>
      </c>
      <c r="C6" s="17"/>
      <c r="D6" s="17"/>
      <c r="E6" s="17"/>
      <c r="F6" s="17"/>
      <c r="G6" s="17"/>
      <c r="H6" s="23" t="n">
        <f aca="false">SUM(C6:G6)</f>
        <v>0</v>
      </c>
      <c r="I6" s="30" t="str">
        <f aca="false">IF(H6=0,"",IF(ABS(H6-'Budget Summary'!H7)&lt;1,"Yes","No"))</f>
        <v/>
      </c>
    </row>
    <row r="7" customFormat="false" ht="15" hidden="false" customHeight="false" outlineLevel="0" collapsed="false">
      <c r="A7" s="21" t="s">
        <v>49</v>
      </c>
      <c r="B7" s="21" t="s">
        <v>50</v>
      </c>
      <c r="C7" s="17"/>
      <c r="D7" s="17"/>
      <c r="E7" s="17"/>
      <c r="F7" s="17"/>
      <c r="G7" s="17"/>
      <c r="H7" s="23" t="n">
        <f aca="false">SUM(C7:G7)</f>
        <v>0</v>
      </c>
      <c r="I7" s="30" t="str">
        <f aca="false">IF(H7=0,"",IF(ABS(H7-'Budget Summary'!H8)&lt;1,"Yes","No"))</f>
        <v/>
      </c>
    </row>
    <row r="8" customFormat="false" ht="15" hidden="false" customHeight="false" outlineLevel="0" collapsed="false">
      <c r="A8" s="21" t="s">
        <v>51</v>
      </c>
      <c r="B8" s="21" t="s">
        <v>52</v>
      </c>
      <c r="C8" s="17"/>
      <c r="D8" s="17"/>
      <c r="E8" s="17"/>
      <c r="F8" s="17"/>
      <c r="G8" s="17"/>
      <c r="H8" s="23" t="n">
        <f aca="false">SUM(C8:G8)</f>
        <v>0</v>
      </c>
      <c r="I8" s="30" t="str">
        <f aca="false">IF(H8=0,"",IF(ABS(H8-'Budget Summary'!H9)&lt;1,"Yes","No"))</f>
        <v/>
      </c>
    </row>
    <row r="9" customFormat="false" ht="15" hidden="false" customHeight="false" outlineLevel="0" collapsed="false">
      <c r="A9" s="21" t="s">
        <v>53</v>
      </c>
      <c r="B9" s="21" t="s">
        <v>55</v>
      </c>
      <c r="C9" s="17"/>
      <c r="D9" s="17"/>
      <c r="E9" s="17"/>
      <c r="F9" s="17"/>
      <c r="G9" s="17"/>
      <c r="H9" s="23" t="n">
        <f aca="false">SUM(C9:G9)</f>
        <v>0</v>
      </c>
      <c r="I9" s="30" t="str">
        <f aca="false">IF(H9=0,"",IF(ABS(H9-'Budget Summary'!H10)&lt;1,"Yes","No"))</f>
        <v/>
      </c>
    </row>
    <row r="10" customFormat="false" ht="15" hidden="false" customHeight="false" outlineLevel="0" collapsed="false">
      <c r="A10" s="21" t="s">
        <v>56</v>
      </c>
      <c r="B10" s="21" t="s">
        <v>57</v>
      </c>
      <c r="C10" s="17"/>
      <c r="D10" s="17"/>
      <c r="E10" s="17"/>
      <c r="F10" s="17"/>
      <c r="G10" s="17"/>
      <c r="H10" s="23" t="n">
        <f aca="false">SUM(C10:G10)</f>
        <v>0</v>
      </c>
      <c r="I10" s="30" t="str">
        <f aca="false">IF(H10=0,"",IF(ABS(H10-'Budget Summary'!H11)&lt;1,"Yes","No"))</f>
        <v/>
      </c>
    </row>
    <row r="11" customFormat="false" ht="15" hidden="false" customHeight="false" outlineLevel="0" collapsed="false">
      <c r="A11" s="21" t="s">
        <v>32</v>
      </c>
      <c r="B11" s="21" t="s">
        <v>59</v>
      </c>
      <c r="C11" s="17"/>
      <c r="D11" s="17"/>
      <c r="E11" s="17"/>
      <c r="F11" s="17"/>
      <c r="G11" s="17"/>
      <c r="H11" s="23" t="n">
        <f aca="false">SUM(C11:G11)</f>
        <v>0</v>
      </c>
      <c r="I11" s="30" t="str">
        <f aca="false">IF(H11=0,"",IF(ABS(H11-'Budget Summary'!H12)&lt;1,"Yes","No"))</f>
        <v/>
      </c>
    </row>
    <row r="12" customFormat="false" ht="15" hidden="false" customHeight="false" outlineLevel="0" collapsed="false">
      <c r="A12" s="21" t="s">
        <v>61</v>
      </c>
      <c r="B12" s="21" t="s">
        <v>63</v>
      </c>
      <c r="C12" s="17"/>
      <c r="D12" s="17"/>
      <c r="E12" s="17"/>
      <c r="F12" s="17"/>
      <c r="G12" s="17"/>
      <c r="H12" s="23" t="n">
        <f aca="false">SUM(C12:G12)</f>
        <v>0</v>
      </c>
      <c r="I12" s="30" t="str">
        <f aca="false">IF(H12=0,"",IF(ABS(H12-'Budget Summary'!H13)&lt;1,"Yes","No"))</f>
        <v/>
      </c>
    </row>
    <row r="13" customFormat="false" ht="15" hidden="false" customHeight="false" outlineLevel="0" collapsed="false">
      <c r="A13" s="21" t="s">
        <v>64</v>
      </c>
      <c r="B13" s="21" t="s">
        <v>66</v>
      </c>
      <c r="C13" s="17"/>
      <c r="D13" s="17"/>
      <c r="E13" s="17"/>
      <c r="F13" s="17"/>
      <c r="G13" s="17"/>
      <c r="H13" s="23" t="n">
        <f aca="false">SUM(C13:G13)</f>
        <v>0</v>
      </c>
      <c r="I13" s="30" t="str">
        <f aca="false">IF(H13=0,"",IF(ABS(H13-'Budget Summary'!H14)&lt;1,"Yes","No"))</f>
        <v/>
      </c>
    </row>
    <row r="14" customFormat="false" ht="15" hidden="false" customHeight="false" outlineLevel="0" collapsed="false">
      <c r="A14" s="21" t="s">
        <v>67</v>
      </c>
      <c r="B14" s="21" t="s">
        <v>69</v>
      </c>
      <c r="C14" s="17"/>
      <c r="D14" s="17"/>
      <c r="E14" s="17"/>
      <c r="F14" s="17"/>
      <c r="G14" s="17"/>
      <c r="H14" s="23" t="n">
        <f aca="false">SUM(C14:G14)</f>
        <v>0</v>
      </c>
      <c r="I14" s="30" t="str">
        <f aca="false">IF(H14=0,"",IF(ABS(H14-'Budget Summary'!H15)&lt;1,"Yes","No"))</f>
        <v/>
      </c>
    </row>
    <row r="15" customFormat="false" ht="15" hidden="false" customHeight="false" outlineLevel="0" collapsed="false">
      <c r="A15" s="21" t="s">
        <v>70</v>
      </c>
      <c r="B15" s="21" t="s">
        <v>72</v>
      </c>
      <c r="C15" s="17"/>
      <c r="D15" s="17"/>
      <c r="E15" s="17"/>
      <c r="F15" s="17"/>
      <c r="G15" s="17"/>
      <c r="H15" s="23" t="n">
        <f aca="false">SUM(C15:G15)</f>
        <v>0</v>
      </c>
      <c r="I15" s="30" t="str">
        <f aca="false">IF(H15=0,"",IF(ABS(H15-'Budget Summary'!H16)&lt;1,"Yes","No"))</f>
        <v/>
      </c>
    </row>
    <row r="16" customFormat="false" ht="15" hidden="false" customHeight="false" outlineLevel="0" collapsed="false">
      <c r="A16" s="21" t="s">
        <v>73</v>
      </c>
      <c r="B16" s="21" t="s">
        <v>75</v>
      </c>
      <c r="C16" s="17"/>
      <c r="D16" s="17"/>
      <c r="E16" s="17"/>
      <c r="F16" s="17"/>
      <c r="G16" s="17"/>
      <c r="H16" s="23" t="n">
        <f aca="false">SUM(C16:G16)</f>
        <v>0</v>
      </c>
      <c r="I16" s="30" t="str">
        <f aca="false">IF(H16=0,"",IF(ABS(H16-'Budget Summary'!H17)&lt;1,"Yes","No"))</f>
        <v/>
      </c>
    </row>
    <row r="17" customFormat="false" ht="15" hidden="false" customHeight="false" outlineLevel="0" collapsed="false">
      <c r="A17" s="21" t="s">
        <v>76</v>
      </c>
      <c r="B17" s="21" t="s">
        <v>78</v>
      </c>
      <c r="C17" s="17"/>
      <c r="D17" s="17"/>
      <c r="E17" s="17"/>
      <c r="F17" s="17"/>
      <c r="G17" s="17"/>
      <c r="H17" s="23" t="n">
        <f aca="false">SUM(C17:G17)</f>
        <v>0</v>
      </c>
      <c r="I17" s="30" t="str">
        <f aca="false">IF(H17=0,"",IF(ABS(H17-'Budget Summary'!H18)&lt;1,"Yes","No"))</f>
        <v/>
      </c>
    </row>
    <row r="18" customFormat="false" ht="15" hidden="false" customHeight="false" outlineLevel="0" collapsed="false">
      <c r="A18" s="21" t="s">
        <v>79</v>
      </c>
      <c r="B18" s="21" t="s">
        <v>81</v>
      </c>
      <c r="C18" s="17"/>
      <c r="D18" s="17"/>
      <c r="E18" s="17"/>
      <c r="F18" s="17"/>
      <c r="G18" s="17"/>
      <c r="H18" s="23" t="n">
        <f aca="false">SUM(C18:G18)</f>
        <v>0</v>
      </c>
      <c r="I18" s="30" t="str">
        <f aca="false">IF(H18=0,"",IF(ABS(H18-'Budget Summary'!H19)&lt;1,"Yes","No"))</f>
        <v/>
      </c>
    </row>
    <row r="19" customFormat="false" ht="15" hidden="false" customHeight="false" outlineLevel="0" collapsed="false">
      <c r="A19" s="21" t="s">
        <v>82</v>
      </c>
      <c r="B19" s="21" t="s">
        <v>83</v>
      </c>
      <c r="C19" s="17"/>
      <c r="D19" s="17"/>
      <c r="E19" s="17"/>
      <c r="F19" s="17"/>
      <c r="G19" s="17"/>
      <c r="H19" s="23" t="n">
        <f aca="false">SUM(C19:G19)</f>
        <v>0</v>
      </c>
      <c r="I19" s="30" t="str">
        <f aca="false">IF(H19=0,"",IF(ABS(H19-'Budget Summary'!H20)&lt;1,"Yes","No"))</f>
        <v/>
      </c>
    </row>
  </sheetData>
  <mergeCells count="1">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4"/>
    <col collapsed="false" customWidth="true" hidden="false" outlineLevel="0" max="3" min="3" style="0" width="50"/>
  </cols>
  <sheetData>
    <row r="1" customFormat="false" ht="17.35" hidden="false" customHeight="false" outlineLevel="0" collapsed="false">
      <c r="A1" s="6" t="s">
        <v>124</v>
      </c>
    </row>
    <row r="2" customFormat="false" ht="15" hidden="false" customHeight="false" outlineLevel="0" collapsed="false">
      <c r="A2" s="7" t="s">
        <v>125</v>
      </c>
    </row>
    <row r="3" customFormat="false" ht="30" hidden="false" customHeight="true" outlineLevel="0" collapsed="false">
      <c r="A3" s="8" t="s">
        <v>2</v>
      </c>
      <c r="B3" s="8"/>
      <c r="C3" s="8"/>
    </row>
    <row r="5" customFormat="false" ht="15" hidden="false" customHeight="false" outlineLevel="0" collapsed="false">
      <c r="A5" s="9" t="s">
        <v>126</v>
      </c>
      <c r="B5" s="9" t="s">
        <v>127</v>
      </c>
      <c r="C5" s="9" t="s">
        <v>128</v>
      </c>
    </row>
    <row r="6" customFormat="false" ht="23.85" hidden="false" customHeight="false" outlineLevel="0" collapsed="false">
      <c r="A6" s="31" t="s">
        <v>129</v>
      </c>
      <c r="B6" s="31" t="s">
        <v>130</v>
      </c>
      <c r="C6" s="31" t="s">
        <v>131</v>
      </c>
    </row>
    <row r="7" customFormat="false" ht="23.85" hidden="false" customHeight="false" outlineLevel="0" collapsed="false">
      <c r="A7" s="31" t="s">
        <v>132</v>
      </c>
      <c r="B7" s="31" t="s">
        <v>133</v>
      </c>
      <c r="C7" s="31" t="s">
        <v>134</v>
      </c>
    </row>
    <row r="8" customFormat="false" ht="23.85" hidden="false" customHeight="false" outlineLevel="0" collapsed="false">
      <c r="A8" s="31" t="s">
        <v>135</v>
      </c>
      <c r="B8" s="31" t="s">
        <v>136</v>
      </c>
      <c r="C8" s="31"/>
    </row>
    <row r="9" customFormat="false" ht="15" hidden="false" customHeight="false" outlineLevel="0" collapsed="false">
      <c r="A9" s="31" t="s">
        <v>137</v>
      </c>
      <c r="B9" s="31" t="s">
        <v>138</v>
      </c>
      <c r="C9" s="31"/>
    </row>
    <row r="10" customFormat="false" ht="15" hidden="false" customHeight="false" outlineLevel="0" collapsed="false">
      <c r="A10" s="31" t="s">
        <v>139</v>
      </c>
      <c r="B10" s="31" t="s">
        <v>140</v>
      </c>
      <c r="C10" s="31"/>
    </row>
    <row r="11" customFormat="false" ht="15" hidden="false" customHeight="false" outlineLevel="0" collapsed="false">
      <c r="A11" s="31" t="s">
        <v>141</v>
      </c>
      <c r="B11" s="31" t="s">
        <v>142</v>
      </c>
      <c r="C11" s="31"/>
    </row>
    <row r="12" customFormat="false" ht="15" hidden="false" customHeight="false" outlineLevel="0" collapsed="false">
      <c r="A12" s="31" t="s">
        <v>143</v>
      </c>
      <c r="B12" s="31" t="s">
        <v>144</v>
      </c>
      <c r="C12" s="31"/>
    </row>
    <row r="13" customFormat="false" ht="15" hidden="false" customHeight="false" outlineLevel="0" collapsed="false">
      <c r="A13" s="31" t="s">
        <v>145</v>
      </c>
      <c r="B13" s="31" t="s">
        <v>146</v>
      </c>
      <c r="C13" s="31"/>
    </row>
    <row r="14" customFormat="false" ht="23.85" hidden="false" customHeight="false" outlineLevel="0" collapsed="false">
      <c r="A14" s="31" t="s">
        <v>147</v>
      </c>
      <c r="B14" s="31" t="s">
        <v>148</v>
      </c>
      <c r="C14" s="31"/>
    </row>
    <row r="15" customFormat="false" ht="15" hidden="false" customHeight="false" outlineLevel="0" collapsed="false">
      <c r="A15" s="31" t="s">
        <v>149</v>
      </c>
      <c r="B15" s="31" t="s">
        <v>150</v>
      </c>
      <c r="C15" s="31"/>
    </row>
    <row r="16" customFormat="false" ht="23.85" hidden="false" customHeight="false" outlineLevel="0" collapsed="false">
      <c r="A16" s="31" t="s">
        <v>151</v>
      </c>
      <c r="B16" s="31" t="s">
        <v>152</v>
      </c>
      <c r="C16" s="31"/>
    </row>
    <row r="17" customFormat="false" ht="15" hidden="false" customHeight="false" outlineLevel="0" collapsed="false">
      <c r="A17" s="31" t="s">
        <v>153</v>
      </c>
      <c r="B17" s="31" t="s">
        <v>154</v>
      </c>
      <c r="C17" s="31"/>
    </row>
    <row r="18" customFormat="false" ht="23.85" hidden="false" customHeight="false" outlineLevel="0" collapsed="false">
      <c r="A18" s="31" t="s">
        <v>155</v>
      </c>
      <c r="B18" s="31" t="s">
        <v>156</v>
      </c>
      <c r="C18" s="31"/>
    </row>
    <row r="19" customFormat="false" ht="15" hidden="false" customHeight="false" outlineLevel="0" collapsed="false">
      <c r="A19" s="31" t="s">
        <v>157</v>
      </c>
      <c r="B19" s="31" t="s">
        <v>158</v>
      </c>
      <c r="C19" s="31"/>
    </row>
    <row r="20" customFormat="false" ht="23.85" hidden="false" customHeight="false" outlineLevel="0" collapsed="false">
      <c r="A20" s="31" t="s">
        <v>159</v>
      </c>
      <c r="B20" s="31" t="s">
        <v>160</v>
      </c>
      <c r="C20" s="31"/>
    </row>
  </sheetData>
  <mergeCells count="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55"/>
  </cols>
  <sheetData>
    <row r="1" customFormat="false" ht="17.35" hidden="false" customHeight="false" outlineLevel="0" collapsed="false">
      <c r="A1" s="6" t="s">
        <v>161</v>
      </c>
    </row>
    <row r="2" customFormat="false" ht="15" hidden="false" customHeight="false" outlineLevel="0" collapsed="false">
      <c r="A2" s="7" t="s">
        <v>162</v>
      </c>
    </row>
    <row r="3" customFormat="false" ht="30" hidden="false" customHeight="true" outlineLevel="0" collapsed="false">
      <c r="A3" s="8" t="s">
        <v>2</v>
      </c>
      <c r="B3" s="8"/>
      <c r="C3" s="8"/>
    </row>
    <row r="5" customFormat="false" ht="15" hidden="false" customHeight="false" outlineLevel="0" collapsed="false">
      <c r="A5" s="9" t="s">
        <v>163</v>
      </c>
      <c r="B5" s="9" t="s">
        <v>164</v>
      </c>
      <c r="C5" s="9" t="s">
        <v>165</v>
      </c>
    </row>
    <row r="6" customFormat="false" ht="35.05" hidden="false" customHeight="false" outlineLevel="0" collapsed="false">
      <c r="A6" s="31" t="s">
        <v>166</v>
      </c>
      <c r="B6" s="31" t="s">
        <v>167</v>
      </c>
      <c r="C6" s="31" t="s">
        <v>168</v>
      </c>
    </row>
    <row r="7" customFormat="false" ht="23.85" hidden="false" customHeight="false" outlineLevel="0" collapsed="false">
      <c r="A7" s="31" t="s">
        <v>169</v>
      </c>
      <c r="B7" s="31" t="s">
        <v>170</v>
      </c>
      <c r="C7" s="31" t="s">
        <v>171</v>
      </c>
    </row>
    <row r="8" customFormat="false" ht="23.85" hidden="false" customHeight="false" outlineLevel="0" collapsed="false">
      <c r="A8" s="31" t="s">
        <v>172</v>
      </c>
      <c r="B8" s="31" t="s">
        <v>173</v>
      </c>
      <c r="C8" s="31" t="s">
        <v>174</v>
      </c>
    </row>
    <row r="9" customFormat="false" ht="35.05" hidden="false" customHeight="false" outlineLevel="0" collapsed="false">
      <c r="A9" s="31" t="s">
        <v>175</v>
      </c>
      <c r="B9" s="31" t="s">
        <v>176</v>
      </c>
      <c r="C9" s="31" t="s">
        <v>177</v>
      </c>
    </row>
    <row r="10" customFormat="false" ht="15" hidden="false" customHeight="false" outlineLevel="0" collapsed="false">
      <c r="A10" s="31" t="s">
        <v>178</v>
      </c>
      <c r="B10" s="31" t="s">
        <v>179</v>
      </c>
      <c r="C10" s="31" t="s">
        <v>180</v>
      </c>
    </row>
    <row r="11" customFormat="false" ht="23.85" hidden="false" customHeight="false" outlineLevel="0" collapsed="false">
      <c r="A11" s="31" t="s">
        <v>181</v>
      </c>
      <c r="B11" s="31" t="s">
        <v>182</v>
      </c>
      <c r="C11" s="31" t="s">
        <v>183</v>
      </c>
    </row>
    <row r="12" customFormat="false" ht="23.85" hidden="false" customHeight="false" outlineLevel="0" collapsed="false">
      <c r="A12" s="31" t="s">
        <v>184</v>
      </c>
      <c r="B12" s="31" t="s">
        <v>185</v>
      </c>
      <c r="C12" s="31" t="s">
        <v>186</v>
      </c>
    </row>
    <row r="13" customFormat="false" ht="35.05" hidden="false" customHeight="false" outlineLevel="0" collapsed="false">
      <c r="A13" s="31" t="s">
        <v>187</v>
      </c>
      <c r="B13" s="31" t="s">
        <v>188</v>
      </c>
      <c r="C13" s="31" t="s">
        <v>189</v>
      </c>
    </row>
    <row r="14" customFormat="false" ht="23.85" hidden="false" customHeight="false" outlineLevel="0" collapsed="false">
      <c r="A14" s="31" t="s">
        <v>190</v>
      </c>
      <c r="B14" s="31" t="s">
        <v>191</v>
      </c>
      <c r="C14" s="31" t="s">
        <v>192</v>
      </c>
    </row>
  </sheetData>
  <mergeCells count="1">
    <mergeCell ref="A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DC014293743644984C2A374BF5522A" ma:contentTypeVersion="12" ma:contentTypeDescription="Create a new document." ma:contentTypeScope="" ma:versionID="428220001722f5ce1a83529525c01993">
  <xsd:schema xmlns:xsd="http://www.w3.org/2001/XMLSchema" xmlns:xs="http://www.w3.org/2001/XMLSchema" xmlns:p="http://schemas.microsoft.com/office/2006/metadata/properties" xmlns:ns2="1224044b-affe-4661-902e-8535cf38de4a" xmlns:ns3="1a46d012-c794-4ac8-8446-6ab5f2c2f484" targetNamespace="http://schemas.microsoft.com/office/2006/metadata/properties" ma:root="true" ma:fieldsID="0a2b0b9dbfeb7d328045dd99ef8b68e2" ns2:_="" ns3:_="">
    <xsd:import namespace="1224044b-affe-4661-902e-8535cf38de4a"/>
    <xsd:import namespace="1a46d012-c794-4ac8-8446-6ab5f2c2f48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24044b-affe-4661-902e-8535cf38d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fd2ca00-098d-498d-949f-e91e8991b8a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46d012-c794-4ac8-8446-6ab5f2c2f48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c637fa-b800-4599-9789-b16c2191b1e7}" ma:internalName="TaxCatchAll" ma:showField="CatchAllData" ma:web="1a46d012-c794-4ac8-8446-6ab5f2c2f4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a46d012-c794-4ac8-8446-6ab5f2c2f484" xsi:nil="true"/>
    <lcf76f155ced4ddcb4097134ff3c332f xmlns="1224044b-affe-4661-902e-8535cf38de4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FF79EFC-4D8D-4021-B3AF-D6F437FB6E2B}"/>
</file>

<file path=customXml/itemProps2.xml><?xml version="1.0" encoding="utf-8"?>
<ds:datastoreItem xmlns:ds="http://schemas.openxmlformats.org/officeDocument/2006/customXml" ds:itemID="{FDA31E1F-6531-47F6-B735-1C9DDD5BA85D}"/>
</file>

<file path=customXml/itemProps3.xml><?xml version="1.0" encoding="utf-8"?>
<ds:datastoreItem xmlns:ds="http://schemas.openxmlformats.org/officeDocument/2006/customXml" ds:itemID="{160C8062-4ED5-422C-B1E1-4DD280704FAE}"/>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2026-10-14T22:29:08Z</dcterms:created>
  <dcterms:modified xsi:type="dcterms:W3CDTF">2026-10-14T22:29:08Z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0x010100E7DC014293743644984C2A374BF5522A</vt:lpwstr>
  </property>
</Properties>
</file>